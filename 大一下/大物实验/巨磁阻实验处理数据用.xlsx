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19e0d8ca6a452/学习/大一下/"/>
    </mc:Choice>
  </mc:AlternateContent>
  <xr:revisionPtr revIDLastSave="0" documentId="8_{5F8061EA-BE51-46EA-8135-FD2E7DD45D54}" xr6:coauthVersionLast="47" xr6:coauthVersionMax="47" xr10:uidLastSave="{00000000-0000-0000-0000-000000000000}"/>
  <bookViews>
    <workbookView xWindow="-98" yWindow="-98" windowWidth="21795" windowHeight="12975" xr2:uid="{3DA76280-E4B5-46D6-A531-6ACEBF179A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" i="1" l="1"/>
  <c r="B48" i="1"/>
  <c r="B47" i="1"/>
  <c r="B46" i="1"/>
  <c r="B45" i="1"/>
  <c r="B44" i="1"/>
  <c r="B43" i="1"/>
  <c r="B42" i="1"/>
  <c r="B41" i="1"/>
  <c r="B40" i="1"/>
  <c r="B39" i="1"/>
  <c r="B38" i="1"/>
  <c r="C1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<sst xmlns="http://schemas.openxmlformats.org/spreadsheetml/2006/main" count="27" uniqueCount="14">
  <si>
    <t>序号</t>
  </si>
  <si>
    <t>励磁电流（mA）</t>
  </si>
  <si>
    <t>线圈磁感应强度B（Gs）</t>
  </si>
  <si>
    <t>传感器输出电压Uo（mV）</t>
  </si>
  <si>
    <t>角度θ（°）</t>
  </si>
  <si>
    <t>Cosθ</t>
  </si>
  <si>
    <t>传感器输出电压Uo(mV)</t>
  </si>
  <si>
    <t>励磁电流和磁感应强度</t>
  </si>
  <si>
    <t>传感器输出Uo（mV）</t>
  </si>
  <si>
    <t>磁感应强度（Gs）</t>
  </si>
  <si>
    <t>VCC=5V</t>
  </si>
  <si>
    <t>VCC=8V</t>
  </si>
  <si>
    <t>VCC=10V</t>
  </si>
  <si>
    <t>VCC=15V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</si>
</sst>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_ "/>
  </numFmts>
  <fonts count="6" x14ac:knownFonts="1">
    <font>
      <sz val="11"/>
      <color theme="1"/>
      <name val="等线"/>
      <family val="2"/>
      <charset val="134"/>
      <scheme val="minor"/>
    </font>
    <font>
      <sz val="10.5"/>
      <color theme="1"/>
      <name val="Times New Roman"/>
      <family val="1"/>
    </font>
    <font>
      <sz val="12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80" fontId="2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80" fontId="2" fillId="0" borderId="6" xfId="0" applyNumberFormat="1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righ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10870516185478"/>
          <c:y val="0.11339129483814524"/>
          <c:w val="0.81489129483814526"/>
          <c:h val="0.8215277777777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传感器输出电压Uo（mV）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632020997375329"/>
                  <c:y val="-4.85764800233304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Sheet1!$C$2:$C$12</c:f>
              <c:numCache>
                <c:formatCode>0.000_ </c:formatCode>
                <c:ptCount val="11"/>
                <c:pt idx="0" formatCode="General">
                  <c:v>0</c:v>
                </c:pt>
                <c:pt idx="1">
                  <c:v>12.566370616</c:v>
                </c:pt>
                <c:pt idx="2">
                  <c:v>1.8849555923999999</c:v>
                </c:pt>
                <c:pt idx="3">
                  <c:v>2.8274333885999998</c:v>
                </c:pt>
                <c:pt idx="4">
                  <c:v>3.7699111847999998</c:v>
                </c:pt>
                <c:pt idx="5">
                  <c:v>4.7123889810000001</c:v>
                </c:pt>
                <c:pt idx="6">
                  <c:v>5.6548667771999996</c:v>
                </c:pt>
                <c:pt idx="7">
                  <c:v>6.5973445734</c:v>
                </c:pt>
                <c:pt idx="8">
                  <c:v>7.5398223695999995</c:v>
                </c:pt>
                <c:pt idx="9">
                  <c:v>8.4823001657999999</c:v>
                </c:pt>
                <c:pt idx="10">
                  <c:v>9.4247779620000003</c:v>
                </c:pt>
              </c:numCache>
            </c:numRef>
          </c:xVal>
          <c:yVal>
            <c:numRef>
              <c:f>Sheet1!$D$2:$D$12</c:f>
              <c:numCache>
                <c:formatCode>General</c:formatCode>
                <c:ptCount val="11"/>
                <c:pt idx="0">
                  <c:v>0</c:v>
                </c:pt>
                <c:pt idx="1">
                  <c:v>19.5</c:v>
                </c:pt>
                <c:pt idx="2">
                  <c:v>39.299999999999997</c:v>
                </c:pt>
                <c:pt idx="3">
                  <c:v>61</c:v>
                </c:pt>
                <c:pt idx="4">
                  <c:v>84</c:v>
                </c:pt>
                <c:pt idx="5">
                  <c:v>107.5</c:v>
                </c:pt>
                <c:pt idx="6">
                  <c:v>131.4</c:v>
                </c:pt>
                <c:pt idx="7">
                  <c:v>154.30000000000001</c:v>
                </c:pt>
                <c:pt idx="8">
                  <c:v>177.4</c:v>
                </c:pt>
                <c:pt idx="9">
                  <c:v>200</c:v>
                </c:pt>
                <c:pt idx="10">
                  <c:v>220.6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B8-4187-9433-940640249C9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Sheet1!$C$2:$C$12</c:f>
              <c:numCache>
                <c:formatCode>0.000_ </c:formatCode>
                <c:ptCount val="11"/>
                <c:pt idx="0" formatCode="General">
                  <c:v>0</c:v>
                </c:pt>
                <c:pt idx="1">
                  <c:v>12.566370616</c:v>
                </c:pt>
                <c:pt idx="2">
                  <c:v>1.8849555923999999</c:v>
                </c:pt>
                <c:pt idx="3">
                  <c:v>2.8274333885999998</c:v>
                </c:pt>
                <c:pt idx="4">
                  <c:v>3.7699111847999998</c:v>
                </c:pt>
                <c:pt idx="5">
                  <c:v>4.7123889810000001</c:v>
                </c:pt>
                <c:pt idx="6">
                  <c:v>5.6548667771999996</c:v>
                </c:pt>
                <c:pt idx="7">
                  <c:v>6.5973445734</c:v>
                </c:pt>
                <c:pt idx="8">
                  <c:v>7.5398223695999995</c:v>
                </c:pt>
                <c:pt idx="9">
                  <c:v>8.4823001657999999</c:v>
                </c:pt>
                <c:pt idx="10">
                  <c:v>9.4247779620000003</c:v>
                </c:pt>
              </c:numCache>
            </c:numRef>
          </c:xVal>
          <c:yVal>
            <c:numRef>
              <c:f>Sheet1!$D$1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BB8-4187-9433-940640249C9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58364079"/>
        <c:axId val="1958366479"/>
      </c:scatterChart>
      <c:valAx>
        <c:axId val="195836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线圈磁感应强度</a:t>
                </a:r>
                <a:r>
                  <a:rPr lang="en-US" altLang="zh-CN" sz="1000" b="0" i="0" u="none" strike="noStrike" baseline="0">
                    <a:effectLst/>
                  </a:rPr>
                  <a:t>B</a:t>
                </a:r>
                <a:r>
                  <a:rPr lang="zh-CN" altLang="en-US" sz="1000" b="0" i="0" u="none" strike="noStrike" baseline="0">
                    <a:effectLst/>
                  </a:rPr>
                  <a:t>（</a:t>
                </a:r>
                <a:r>
                  <a:rPr lang="en-US" altLang="zh-CN" sz="1000" b="0" i="0" u="none" strike="noStrike" baseline="0">
                    <a:effectLst/>
                  </a:rPr>
                  <a:t>Gs</a:t>
                </a:r>
                <a:r>
                  <a:rPr lang="zh-CN" altLang="en-US" sz="1000" b="0" i="0" u="none" strike="noStrike" baseline="0">
                    <a:effectLst/>
                  </a:rPr>
                  <a:t>）</a:t>
                </a:r>
                <a:r>
                  <a:rPr lang="en-US" altLang="zh-CN" sz="1000" b="0" i="0" u="none" strike="noStrike" baseline="0"/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8366479"/>
        <c:crosses val="autoZero"/>
        <c:crossBetween val="midCat"/>
        <c:majorUnit val="0.5"/>
      </c:valAx>
      <c:valAx>
        <c:axId val="195836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传感器输出电压</a:t>
                </a:r>
                <a:r>
                  <a:rPr lang="en-US" altLang="zh-CN" sz="1000" b="0" i="0" u="none" strike="noStrike" baseline="0">
                    <a:effectLst/>
                  </a:rPr>
                  <a:t>Uo</a:t>
                </a:r>
                <a:r>
                  <a:rPr lang="zh-CN" altLang="en-US" sz="1000" b="0" i="0" u="none" strike="noStrike" baseline="0">
                    <a:effectLst/>
                  </a:rPr>
                  <a:t>（</a:t>
                </a:r>
                <a:r>
                  <a:rPr lang="en-US" altLang="zh-CN" sz="1000" b="0" i="0" u="none" strike="noStrike" baseline="0">
                    <a:effectLst/>
                  </a:rPr>
                  <a:t>mV</a:t>
                </a:r>
                <a:r>
                  <a:rPr lang="zh-CN" altLang="en-US" sz="1000" b="0" i="0" u="none" strike="noStrike" baseline="0">
                    <a:effectLst/>
                  </a:rPr>
                  <a:t>）</a:t>
                </a:r>
                <a:r>
                  <a:rPr lang="en-US" altLang="zh-CN" sz="1000" b="0" i="0" u="none" strike="noStrike" baseline="0"/>
                  <a:t> 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3.3333333333333333E-2"/>
              <c:y val="0.132526975794692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8364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Sheet1!$C$14</c:f>
              <c:strCache>
                <c:ptCount val="1"/>
                <c:pt idx="0">
                  <c:v>传感器输出电压Uo(mV)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497910923152065"/>
                  <c:y val="-5.36748647946677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Sheet1!$B$15:$B$33</c:f>
              <c:numCache>
                <c:formatCode>General</c:formatCode>
                <c:ptCount val="19"/>
                <c:pt idx="0">
                  <c:v>1</c:v>
                </c:pt>
                <c:pt idx="1">
                  <c:v>0.996</c:v>
                </c:pt>
                <c:pt idx="2">
                  <c:v>0.98499999999999999</c:v>
                </c:pt>
                <c:pt idx="3">
                  <c:v>0.96599999999999997</c:v>
                </c:pt>
                <c:pt idx="4">
                  <c:v>0.94</c:v>
                </c:pt>
                <c:pt idx="5">
                  <c:v>0.90600000000000003</c:v>
                </c:pt>
                <c:pt idx="6">
                  <c:v>0.86599999999999999</c:v>
                </c:pt>
                <c:pt idx="7">
                  <c:v>0.81899999999999995</c:v>
                </c:pt>
                <c:pt idx="8">
                  <c:v>0.76600000000000001</c:v>
                </c:pt>
                <c:pt idx="9">
                  <c:v>0.70699999999999996</c:v>
                </c:pt>
                <c:pt idx="10">
                  <c:v>0.64300000000000002</c:v>
                </c:pt>
                <c:pt idx="11">
                  <c:v>0.57399999999999995</c:v>
                </c:pt>
                <c:pt idx="12">
                  <c:v>0.5</c:v>
                </c:pt>
                <c:pt idx="13">
                  <c:v>0.42299999999999999</c:v>
                </c:pt>
                <c:pt idx="14">
                  <c:v>0.34200000000000003</c:v>
                </c:pt>
                <c:pt idx="15">
                  <c:v>0.25900000000000001</c:v>
                </c:pt>
                <c:pt idx="16">
                  <c:v>0.17399999999999999</c:v>
                </c:pt>
                <c:pt idx="17">
                  <c:v>8.6999999999999994E-2</c:v>
                </c:pt>
                <c:pt idx="18">
                  <c:v>0</c:v>
                </c:pt>
              </c:numCache>
            </c:numRef>
          </c:xVal>
          <c:yVal>
            <c:numRef>
              <c:f>Sheet1!$C$15:$C$33</c:f>
              <c:numCache>
                <c:formatCode>General</c:formatCode>
                <c:ptCount val="19"/>
                <c:pt idx="0">
                  <c:v>144.9</c:v>
                </c:pt>
                <c:pt idx="1">
                  <c:v>144.30000000000001</c:v>
                </c:pt>
                <c:pt idx="2">
                  <c:v>142.5</c:v>
                </c:pt>
                <c:pt idx="3">
                  <c:v>139.9</c:v>
                </c:pt>
                <c:pt idx="4">
                  <c:v>136.1</c:v>
                </c:pt>
                <c:pt idx="5">
                  <c:v>131.4</c:v>
                </c:pt>
                <c:pt idx="6">
                  <c:v>125</c:v>
                </c:pt>
                <c:pt idx="7">
                  <c:v>117.7</c:v>
                </c:pt>
                <c:pt idx="8">
                  <c:v>109.6</c:v>
                </c:pt>
                <c:pt idx="9">
                  <c:v>100.3</c:v>
                </c:pt>
                <c:pt idx="10">
                  <c:v>90.3</c:v>
                </c:pt>
                <c:pt idx="11">
                  <c:v>79.5</c:v>
                </c:pt>
                <c:pt idx="12">
                  <c:v>68.599999999999994</c:v>
                </c:pt>
                <c:pt idx="13">
                  <c:v>56.6</c:v>
                </c:pt>
                <c:pt idx="14">
                  <c:v>45.1</c:v>
                </c:pt>
                <c:pt idx="15">
                  <c:v>33.299999999999997</c:v>
                </c:pt>
                <c:pt idx="16">
                  <c:v>21.2</c:v>
                </c:pt>
                <c:pt idx="17">
                  <c:v>9.9</c:v>
                </c:pt>
                <c:pt idx="18">
                  <c:v>-3.2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DF-438D-A4D4-346188BD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765359"/>
        <c:axId val="1942350095"/>
      </c:scatterChart>
      <c:valAx>
        <c:axId val="196176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>
                    <a:effectLst/>
                  </a:rPr>
                  <a:t>Cos</a:t>
                </a:r>
                <a:r>
                  <a:rPr lang="el-GR" altLang="zh-CN" sz="1000" b="0" i="0" u="none" strike="noStrike" baseline="0">
                    <a:effectLst/>
                  </a:rPr>
                  <a:t>θ</a:t>
                </a:r>
                <a:r>
                  <a:rPr lang="el-GR" altLang="zh-CN" sz="1000" b="0" i="0" u="none" strike="noStrike" baseline="0"/>
                  <a:t> 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8594455451768731"/>
              <c:y val="0.914364192986689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2350095"/>
        <c:crosses val="autoZero"/>
        <c:crossBetween val="midCat"/>
        <c:majorUnit val="5.000000000000001E-2"/>
      </c:valAx>
      <c:valAx>
        <c:axId val="194235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传感器输出电压</a:t>
                </a:r>
                <a:r>
                  <a:rPr lang="en-US" altLang="zh-CN" sz="1000" b="0" i="0" u="none" strike="noStrike" baseline="0">
                    <a:effectLst/>
                  </a:rPr>
                  <a:t>Uo(mV)</a:t>
                </a:r>
                <a:r>
                  <a:rPr lang="en-US" altLang="zh-CN" sz="1000" b="0" i="0" u="none" strike="noStrike" baseline="0"/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1765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Sheet1!$C$37</c:f>
              <c:strCache>
                <c:ptCount val="1"/>
                <c:pt idx="0">
                  <c:v>VCC=5V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Sheet1!$B$38:$B$48</c:f>
              <c:numCache>
                <c:formatCode>0.000_ </c:formatCode>
                <c:ptCount val="11"/>
                <c:pt idx="0">
                  <c:v>0</c:v>
                </c:pt>
                <c:pt idx="1">
                  <c:v>0.94247779619999994</c:v>
                </c:pt>
                <c:pt idx="2">
                  <c:v>1.8849555923999999</c:v>
                </c:pt>
                <c:pt idx="3">
                  <c:v>2.8274333885999998</c:v>
                </c:pt>
                <c:pt idx="4">
                  <c:v>3.7699111847999998</c:v>
                </c:pt>
                <c:pt idx="5">
                  <c:v>4.7123889810000001</c:v>
                </c:pt>
                <c:pt idx="6">
                  <c:v>5.6548667771999996</c:v>
                </c:pt>
                <c:pt idx="7">
                  <c:v>6.5973445734</c:v>
                </c:pt>
                <c:pt idx="8">
                  <c:v>7.5398223695999995</c:v>
                </c:pt>
                <c:pt idx="9">
                  <c:v>8.4823001657999999</c:v>
                </c:pt>
                <c:pt idx="10">
                  <c:v>9.4247779620000003</c:v>
                </c:pt>
              </c:numCache>
            </c:numRef>
          </c:xVal>
          <c:yVal>
            <c:numRef>
              <c:f>Sheet1!$C$38:$C$48</c:f>
              <c:numCache>
                <c:formatCode>General</c:formatCode>
                <c:ptCount val="11"/>
                <c:pt idx="0">
                  <c:v>0</c:v>
                </c:pt>
                <c:pt idx="1">
                  <c:v>19.5</c:v>
                </c:pt>
                <c:pt idx="2">
                  <c:v>39.299999999999997</c:v>
                </c:pt>
                <c:pt idx="3">
                  <c:v>61</c:v>
                </c:pt>
                <c:pt idx="4">
                  <c:v>84</c:v>
                </c:pt>
                <c:pt idx="5">
                  <c:v>107.5</c:v>
                </c:pt>
                <c:pt idx="6">
                  <c:v>131.4</c:v>
                </c:pt>
                <c:pt idx="7">
                  <c:v>154.30000000000001</c:v>
                </c:pt>
                <c:pt idx="8">
                  <c:v>177.4</c:v>
                </c:pt>
                <c:pt idx="9">
                  <c:v>200</c:v>
                </c:pt>
                <c:pt idx="10">
                  <c:v>220.6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E9-40BC-A883-23295F620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391791"/>
        <c:axId val="1902390351"/>
      </c:scatterChart>
      <c:valAx>
        <c:axId val="190239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磁感应强度（</a:t>
                </a:r>
                <a:r>
                  <a:rPr lang="en-US" altLang="zh-CN" sz="1000" b="0" i="0" u="none" strike="noStrike" baseline="0">
                    <a:effectLst/>
                  </a:rPr>
                  <a:t>Gs</a:t>
                </a:r>
                <a:r>
                  <a:rPr lang="zh-CN" altLang="en-US" sz="1000" b="0" i="0" u="none" strike="noStrike" baseline="0">
                    <a:effectLst/>
                  </a:rPr>
                  <a:t>）</a:t>
                </a:r>
                <a:r>
                  <a:rPr lang="en-US" altLang="zh-CN" sz="1000" b="0" i="0" u="none" strike="noStrike" baseline="0"/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2390351"/>
        <c:crosses val="autoZero"/>
        <c:crossBetween val="midCat"/>
      </c:valAx>
      <c:valAx>
        <c:axId val="190239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传感器输出</a:t>
                </a:r>
                <a:r>
                  <a:rPr lang="en-US" altLang="zh-CN" sz="1000" b="0" i="0" u="none" strike="noStrike" baseline="0">
                    <a:effectLst/>
                  </a:rPr>
                  <a:t>Uo</a:t>
                </a:r>
                <a:r>
                  <a:rPr lang="zh-CN" altLang="en-US" sz="1000" b="0" i="0" u="none" strike="noStrike" baseline="0">
                    <a:effectLst/>
                  </a:rPr>
                  <a:t>（</a:t>
                </a:r>
                <a:r>
                  <a:rPr lang="en-US" altLang="zh-CN" sz="1000" b="0" i="0" u="none" strike="noStrike" baseline="0">
                    <a:effectLst/>
                  </a:rPr>
                  <a:t>mV</a:t>
                </a:r>
                <a:r>
                  <a:rPr lang="zh-CN" altLang="en-US" sz="1000" b="0" i="0" u="none" strike="noStrike" baseline="0">
                    <a:effectLst/>
                  </a:rPr>
                  <a:t>）</a:t>
                </a:r>
                <a:r>
                  <a:rPr lang="en-US" altLang="zh-CN" sz="1000" b="0" i="0" u="none" strike="noStrike" baseline="0"/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239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Sheet1!$D$37</c:f>
              <c:strCache>
                <c:ptCount val="1"/>
                <c:pt idx="0">
                  <c:v>VCC=8V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Sheet1!$B$38:$B$48</c:f>
              <c:numCache>
                <c:formatCode>0.000_ </c:formatCode>
                <c:ptCount val="11"/>
                <c:pt idx="0">
                  <c:v>0</c:v>
                </c:pt>
                <c:pt idx="1">
                  <c:v>0.94247779619999994</c:v>
                </c:pt>
                <c:pt idx="2">
                  <c:v>1.8849555923999999</c:v>
                </c:pt>
                <c:pt idx="3">
                  <c:v>2.8274333885999998</c:v>
                </c:pt>
                <c:pt idx="4">
                  <c:v>3.7699111847999998</c:v>
                </c:pt>
                <c:pt idx="5">
                  <c:v>4.7123889810000001</c:v>
                </c:pt>
                <c:pt idx="6">
                  <c:v>5.6548667771999996</c:v>
                </c:pt>
                <c:pt idx="7">
                  <c:v>6.5973445734</c:v>
                </c:pt>
                <c:pt idx="8">
                  <c:v>7.5398223695999995</c:v>
                </c:pt>
                <c:pt idx="9">
                  <c:v>8.4823001657999999</c:v>
                </c:pt>
                <c:pt idx="10">
                  <c:v>9.4247779620000003</c:v>
                </c:pt>
              </c:numCache>
            </c:numRef>
          </c:xVal>
          <c:yVal>
            <c:numRef>
              <c:f>Sheet1!$D$38:$D$48</c:f>
              <c:numCache>
                <c:formatCode>General</c:formatCode>
                <c:ptCount val="11"/>
                <c:pt idx="0">
                  <c:v>0</c:v>
                </c:pt>
                <c:pt idx="1">
                  <c:v>31.5</c:v>
                </c:pt>
                <c:pt idx="2">
                  <c:v>63.6</c:v>
                </c:pt>
                <c:pt idx="3">
                  <c:v>98.4</c:v>
                </c:pt>
                <c:pt idx="4">
                  <c:v>133.1</c:v>
                </c:pt>
                <c:pt idx="5">
                  <c:v>170.7</c:v>
                </c:pt>
                <c:pt idx="6">
                  <c:v>208.1</c:v>
                </c:pt>
                <c:pt idx="7">
                  <c:v>245.8</c:v>
                </c:pt>
                <c:pt idx="8">
                  <c:v>282.3</c:v>
                </c:pt>
                <c:pt idx="9">
                  <c:v>317.8</c:v>
                </c:pt>
                <c:pt idx="10">
                  <c:v>348.9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23-4524-8F71-274108AB2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795327"/>
        <c:axId val="1932793407"/>
      </c:scatterChart>
      <c:valAx>
        <c:axId val="193279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磁感应强度（</a:t>
                </a:r>
                <a:r>
                  <a:rPr lang="en-US" altLang="zh-CN" sz="1000" b="0" i="0" u="none" strike="noStrike" baseline="0">
                    <a:effectLst/>
                  </a:rPr>
                  <a:t>Gs</a:t>
                </a:r>
                <a:r>
                  <a:rPr lang="zh-CN" altLang="en-US" sz="1000" b="0" i="0" u="none" strike="noStrike" baseline="0">
                    <a:effectLst/>
                  </a:rPr>
                  <a:t>）</a:t>
                </a:r>
                <a:r>
                  <a:rPr lang="en-US" altLang="zh-CN" sz="1000" b="0" i="0" u="none" strike="noStrike" baseline="0"/>
                  <a:t> 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5628696412948377"/>
              <c:y val="0.872453703703703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2793407"/>
        <c:crosses val="autoZero"/>
        <c:crossBetween val="midCat"/>
      </c:valAx>
      <c:valAx>
        <c:axId val="193279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传感器输出</a:t>
                </a:r>
                <a:r>
                  <a:rPr lang="en-US" altLang="zh-CN" sz="1000" b="0" i="0" u="none" strike="noStrike" baseline="0">
                    <a:effectLst/>
                  </a:rPr>
                  <a:t>Uo</a:t>
                </a:r>
                <a:r>
                  <a:rPr lang="zh-CN" altLang="en-US" sz="1000" b="0" i="0" u="none" strike="noStrike" baseline="0">
                    <a:effectLst/>
                  </a:rPr>
                  <a:t>（</a:t>
                </a:r>
                <a:r>
                  <a:rPr lang="en-US" altLang="zh-CN" sz="1000" b="0" i="0" u="none" strike="noStrike" baseline="0">
                    <a:effectLst/>
                  </a:rPr>
                  <a:t>mV</a:t>
                </a:r>
                <a:r>
                  <a:rPr lang="zh-CN" altLang="en-US" sz="1000" b="0" i="0" u="none" strike="noStrike" baseline="0">
                    <a:effectLst/>
                  </a:rPr>
                  <a:t>）</a:t>
                </a:r>
                <a:r>
                  <a:rPr lang="en-US" altLang="zh-CN" sz="1000" b="0" i="0" u="none" strike="noStrike" baseline="0"/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279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Sheet1!$E$37</c:f>
              <c:strCache>
                <c:ptCount val="1"/>
                <c:pt idx="0">
                  <c:v>VCC=10V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Sheet1!$B$38:$B$48</c:f>
              <c:numCache>
                <c:formatCode>0.000_ </c:formatCode>
                <c:ptCount val="11"/>
                <c:pt idx="0">
                  <c:v>0</c:v>
                </c:pt>
                <c:pt idx="1">
                  <c:v>0.94247779619999994</c:v>
                </c:pt>
                <c:pt idx="2">
                  <c:v>1.8849555923999999</c:v>
                </c:pt>
                <c:pt idx="3">
                  <c:v>2.8274333885999998</c:v>
                </c:pt>
                <c:pt idx="4">
                  <c:v>3.7699111847999998</c:v>
                </c:pt>
                <c:pt idx="5">
                  <c:v>4.7123889810000001</c:v>
                </c:pt>
                <c:pt idx="6">
                  <c:v>5.6548667771999996</c:v>
                </c:pt>
                <c:pt idx="7">
                  <c:v>6.5973445734</c:v>
                </c:pt>
                <c:pt idx="8">
                  <c:v>7.5398223695999995</c:v>
                </c:pt>
                <c:pt idx="9">
                  <c:v>8.4823001657999999</c:v>
                </c:pt>
                <c:pt idx="10">
                  <c:v>9.4247779620000003</c:v>
                </c:pt>
              </c:numCache>
            </c:numRef>
          </c:xVal>
          <c:yVal>
            <c:numRef>
              <c:f>Sheet1!$E$38:$E$48</c:f>
              <c:numCache>
                <c:formatCode>General</c:formatCode>
                <c:ptCount val="11"/>
                <c:pt idx="0">
                  <c:v>0</c:v>
                </c:pt>
                <c:pt idx="1">
                  <c:v>38.799999999999997</c:v>
                </c:pt>
                <c:pt idx="2">
                  <c:v>77.5</c:v>
                </c:pt>
                <c:pt idx="3">
                  <c:v>120</c:v>
                </c:pt>
                <c:pt idx="4">
                  <c:v>164.5</c:v>
                </c:pt>
                <c:pt idx="5">
                  <c:v>211</c:v>
                </c:pt>
                <c:pt idx="6">
                  <c:v>257.89999999999998</c:v>
                </c:pt>
                <c:pt idx="7">
                  <c:v>304</c:v>
                </c:pt>
                <c:pt idx="8">
                  <c:v>349</c:v>
                </c:pt>
                <c:pt idx="9">
                  <c:v>386.8</c:v>
                </c:pt>
                <c:pt idx="10">
                  <c:v>426.8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22-4D93-AF06-B1F6AB1C4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755327"/>
        <c:axId val="1951497199"/>
      </c:scatterChart>
      <c:valAx>
        <c:axId val="189175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磁感应强度（</a:t>
                </a:r>
                <a:r>
                  <a:rPr lang="en-US" altLang="zh-CN" sz="1000" b="0" i="0" u="none" strike="noStrike" baseline="0">
                    <a:effectLst/>
                  </a:rPr>
                  <a:t>Gs</a:t>
                </a:r>
                <a:r>
                  <a:rPr lang="zh-CN" altLang="en-US" sz="1000" b="0" i="0" u="none" strike="noStrike" baseline="0">
                    <a:effectLst/>
                  </a:rPr>
                  <a:t>）</a:t>
                </a:r>
                <a:r>
                  <a:rPr lang="en-US" altLang="zh-CN" sz="1000" b="0" i="0" u="none" strike="noStrike" baseline="0"/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1497199"/>
        <c:crosses val="autoZero"/>
        <c:crossBetween val="midCat"/>
      </c:valAx>
      <c:valAx>
        <c:axId val="195149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传感器输出</a:t>
                </a:r>
                <a:r>
                  <a:rPr lang="en-US" altLang="zh-CN" sz="1000" b="0" i="0" u="none" strike="noStrike" baseline="0">
                    <a:effectLst/>
                  </a:rPr>
                  <a:t>Uo</a:t>
                </a:r>
                <a:r>
                  <a:rPr lang="zh-CN" altLang="en-US" sz="1000" b="0" i="0" u="none" strike="noStrike" baseline="0">
                    <a:effectLst/>
                  </a:rPr>
                  <a:t>（</a:t>
                </a:r>
                <a:r>
                  <a:rPr lang="en-US" altLang="zh-CN" sz="1000" b="0" i="0" u="none" strike="noStrike" baseline="0">
                    <a:effectLst/>
                  </a:rPr>
                  <a:t>mV</a:t>
                </a:r>
                <a:r>
                  <a:rPr lang="zh-CN" altLang="en-US" sz="1000" b="0" i="0" u="none" strike="noStrike" baseline="0">
                    <a:effectLst/>
                  </a:rPr>
                  <a:t>）</a:t>
                </a:r>
                <a:r>
                  <a:rPr lang="en-US" altLang="zh-CN" sz="1000" b="0" i="0" u="none" strike="noStrike" baseline="0"/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175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Sheet1!$F$37</c:f>
              <c:strCache>
                <c:ptCount val="1"/>
                <c:pt idx="0">
                  <c:v>VCC=15V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Sheet1!$B$38:$B$48</c:f>
              <c:numCache>
                <c:formatCode>0.000_ </c:formatCode>
                <c:ptCount val="11"/>
                <c:pt idx="0">
                  <c:v>0</c:v>
                </c:pt>
                <c:pt idx="1">
                  <c:v>0.94247779619999994</c:v>
                </c:pt>
                <c:pt idx="2">
                  <c:v>1.8849555923999999</c:v>
                </c:pt>
                <c:pt idx="3">
                  <c:v>2.8274333885999998</c:v>
                </c:pt>
                <c:pt idx="4">
                  <c:v>3.7699111847999998</c:v>
                </c:pt>
                <c:pt idx="5">
                  <c:v>4.7123889810000001</c:v>
                </c:pt>
                <c:pt idx="6">
                  <c:v>5.6548667771999996</c:v>
                </c:pt>
                <c:pt idx="7">
                  <c:v>6.5973445734</c:v>
                </c:pt>
                <c:pt idx="8">
                  <c:v>7.5398223695999995</c:v>
                </c:pt>
                <c:pt idx="9">
                  <c:v>8.4823001657999999</c:v>
                </c:pt>
                <c:pt idx="10">
                  <c:v>9.4247779620000003</c:v>
                </c:pt>
              </c:numCache>
            </c:numRef>
          </c:xVal>
          <c:yVal>
            <c:numRef>
              <c:f>Sheet1!$F$38:$F$48</c:f>
              <c:numCache>
                <c:formatCode>General</c:formatCode>
                <c:ptCount val="11"/>
                <c:pt idx="0">
                  <c:v>0</c:v>
                </c:pt>
                <c:pt idx="1">
                  <c:v>56.8</c:v>
                </c:pt>
                <c:pt idx="2">
                  <c:v>111.3</c:v>
                </c:pt>
                <c:pt idx="3">
                  <c:v>171.9</c:v>
                </c:pt>
                <c:pt idx="4">
                  <c:v>236</c:v>
                </c:pt>
                <c:pt idx="5">
                  <c:v>302.5</c:v>
                </c:pt>
                <c:pt idx="6">
                  <c:v>370.2</c:v>
                </c:pt>
                <c:pt idx="7">
                  <c:v>440.4</c:v>
                </c:pt>
                <c:pt idx="8">
                  <c:v>503.3</c:v>
                </c:pt>
                <c:pt idx="9">
                  <c:v>568.79999999999995</c:v>
                </c:pt>
                <c:pt idx="10">
                  <c:v>625.1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42-44C6-8640-3E22E7924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6944399"/>
        <c:axId val="1956943439"/>
      </c:scatterChart>
      <c:valAx>
        <c:axId val="195694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磁感应强度（</a:t>
                </a:r>
                <a:r>
                  <a:rPr lang="en-US" altLang="zh-CN" sz="1000" b="0" i="0" u="none" strike="noStrike" baseline="0">
                    <a:effectLst/>
                  </a:rPr>
                  <a:t>Gs</a:t>
                </a:r>
                <a:r>
                  <a:rPr lang="zh-CN" altLang="en-US" sz="1000" b="0" i="0" u="none" strike="noStrike" baseline="0">
                    <a:effectLst/>
                  </a:rPr>
                  <a:t>）</a:t>
                </a:r>
                <a:r>
                  <a:rPr lang="en-US" altLang="zh-CN" sz="1000" b="0" i="0" u="none" strike="noStrike" baseline="0"/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6943439"/>
        <c:crosses val="autoZero"/>
        <c:crossBetween val="midCat"/>
      </c:valAx>
      <c:valAx>
        <c:axId val="195694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传感器输出</a:t>
                </a:r>
                <a:r>
                  <a:rPr lang="en-US" altLang="zh-CN" sz="1000" b="0" i="0" u="none" strike="noStrike" baseline="0">
                    <a:effectLst/>
                  </a:rPr>
                  <a:t>Uo</a:t>
                </a:r>
                <a:r>
                  <a:rPr lang="zh-CN" altLang="en-US" sz="1000" b="0" i="0" u="none" strike="noStrike" baseline="0">
                    <a:effectLst/>
                  </a:rPr>
                  <a:t>（</a:t>
                </a:r>
                <a:r>
                  <a:rPr lang="en-US" altLang="zh-CN" sz="1000" b="0" i="0" u="none" strike="noStrike" baseline="0">
                    <a:effectLst/>
                  </a:rPr>
                  <a:t>mV</a:t>
                </a:r>
                <a:r>
                  <a:rPr lang="zh-CN" altLang="en-US" sz="1000" b="0" i="0" u="none" strike="noStrike" baseline="0">
                    <a:effectLst/>
                  </a:rPr>
                  <a:t>）</a:t>
                </a:r>
                <a:r>
                  <a:rPr lang="en-US" altLang="zh-CN" sz="1000" b="0" i="0" u="none" strike="noStrike" baseline="0"/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6944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183355</xdr:colOff>
      <xdr:row>0</xdr:row>
      <xdr:rowOff>792955</xdr:rowOff>
    </xdr:from>
    <xdr:to>
      <xdr:col>13</xdr:col>
      <xdr:colOff>221455</xdr:colOff>
      <xdr:row>14</xdr:row>
      <xdr:rowOff>97630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5B876EB-5272-8F93-9829-95313CA50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107154</xdr:colOff>
      <xdr:row>17</xdr:row>
      <xdr:rowOff>2381</xdr:rowOff>
    </xdr:from>
    <xdr:to>
      <xdr:col>16</xdr:col>
      <xdr:colOff>542925</xdr:colOff>
      <xdr:row>29</xdr:row>
      <xdr:rowOff>147639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B363EDAB-1C31-38BB-BE65-ABDDDCAB0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273843</xdr:colOff>
      <xdr:row>35</xdr:row>
      <xdr:rowOff>350043</xdr:rowOff>
    </xdr:from>
    <xdr:to>
      <xdr:col>15</xdr:col>
      <xdr:colOff>311943</xdr:colOff>
      <xdr:row>47</xdr:row>
      <xdr:rowOff>40480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FA82A81B-6D9F-A12C-5869-5B00988AB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235743</xdr:colOff>
      <xdr:row>48</xdr:row>
      <xdr:rowOff>78580</xdr:rowOff>
    </xdr:from>
    <xdr:to>
      <xdr:col>15</xdr:col>
      <xdr:colOff>273843</xdr:colOff>
      <xdr:row>59</xdr:row>
      <xdr:rowOff>192880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1C3CA969-077C-1B3E-FF46-7A61F45FB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502442</xdr:colOff>
      <xdr:row>60</xdr:row>
      <xdr:rowOff>111917</xdr:rowOff>
    </xdr:from>
    <xdr:to>
      <xdr:col>15</xdr:col>
      <xdr:colOff>540542</xdr:colOff>
      <xdr:row>75</xdr:row>
      <xdr:rowOff>126205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458F8307-D3CB-AC42-0AAF-275DE1C69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382246</xdr:colOff>
      <xdr:row>36</xdr:row>
      <xdr:rowOff>301739</xdr:rowOff>
    </xdr:from>
    <xdr:to>
      <xdr:col>23</xdr:col>
      <xdr:colOff>420346</xdr:colOff>
      <xdr:row>49</xdr:row>
      <xdr:rowOff>7142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52E7A48A-1C25-434D-93C2-F0101C42F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45906-72FF-4E07-941A-37ACBC0CD230}">
  <dimension ref="A1:I63"/>
  <sheetViews>
    <sheetView tabSelected="1" topLeftCell="A15" zoomScale="115" zoomScaleNormal="115" workbookViewId="0">
      <selection activeCell="B37" sqref="B37"/>
    </sheetView>
  </sheetViews>
  <sheetFormatPr defaultRowHeight="13.9" x14ac:dyDescent="0.4"/>
  <cols>
    <col min="3" max="3" width="13" bestFit="1" customWidth="1"/>
  </cols>
  <sheetData>
    <row r="1" spans="1:4" ht="63.4" thickBo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16.149999999999999" thickBot="1" x14ac:dyDescent="0.45">
      <c r="A2" s="2">
        <v>1</v>
      </c>
      <c r="B2" s="2">
        <v>0</v>
      </c>
      <c r="C2" s="2">
        <f>4*3.141592654*0.1*0.1/(2*0.1*0.1*0.1)*500*10^(-4)*(B2*10^(-3))</f>
        <v>0</v>
      </c>
      <c r="D2" s="2">
        <v>0</v>
      </c>
    </row>
    <row r="3" spans="1:4" ht="16.149999999999999" thickBot="1" x14ac:dyDescent="0.45">
      <c r="A3" s="2">
        <v>2</v>
      </c>
      <c r="B3" s="2">
        <v>30</v>
      </c>
      <c r="C3" s="4">
        <f>4*3.141592654</f>
        <v>12.566370616</v>
      </c>
      <c r="D3" s="2">
        <v>19.5</v>
      </c>
    </row>
    <row r="4" spans="1:4" ht="16.149999999999999" thickBot="1" x14ac:dyDescent="0.45">
      <c r="A4" s="2">
        <v>3</v>
      </c>
      <c r="B4" s="2">
        <v>60</v>
      </c>
      <c r="C4" s="4">
        <f t="shared" ref="C4:C12" si="0">4*3.141592654*10^(-7)/(2*0.1)*500*10^4*B4*10^(-3)</f>
        <v>1.8849555923999999</v>
      </c>
      <c r="D4" s="2">
        <v>39.299999999999997</v>
      </c>
    </row>
    <row r="5" spans="1:4" ht="16.149999999999999" thickBot="1" x14ac:dyDescent="0.45">
      <c r="A5" s="2">
        <v>4</v>
      </c>
      <c r="B5" s="2">
        <v>90</v>
      </c>
      <c r="C5" s="4">
        <f t="shared" si="0"/>
        <v>2.8274333885999998</v>
      </c>
      <c r="D5" s="2">
        <v>61</v>
      </c>
    </row>
    <row r="6" spans="1:4" ht="16.149999999999999" thickBot="1" x14ac:dyDescent="0.45">
      <c r="A6" s="2">
        <v>5</v>
      </c>
      <c r="B6" s="2">
        <v>120</v>
      </c>
      <c r="C6" s="4">
        <f t="shared" si="0"/>
        <v>3.7699111847999998</v>
      </c>
      <c r="D6" s="2">
        <v>84</v>
      </c>
    </row>
    <row r="7" spans="1:4" ht="16.149999999999999" thickBot="1" x14ac:dyDescent="0.45">
      <c r="A7" s="2">
        <v>6</v>
      </c>
      <c r="B7" s="2">
        <v>150</v>
      </c>
      <c r="C7" s="4">
        <f t="shared" si="0"/>
        <v>4.7123889810000001</v>
      </c>
      <c r="D7" s="2">
        <v>107.5</v>
      </c>
    </row>
    <row r="8" spans="1:4" ht="16.149999999999999" thickBot="1" x14ac:dyDescent="0.45">
      <c r="A8" s="2">
        <v>7</v>
      </c>
      <c r="B8" s="2">
        <v>180</v>
      </c>
      <c r="C8" s="4">
        <f t="shared" si="0"/>
        <v>5.6548667771999996</v>
      </c>
      <c r="D8" s="2">
        <v>131.4</v>
      </c>
    </row>
    <row r="9" spans="1:4" ht="16.149999999999999" thickBot="1" x14ac:dyDescent="0.45">
      <c r="A9" s="2">
        <v>8</v>
      </c>
      <c r="B9" s="2">
        <v>210</v>
      </c>
      <c r="C9" s="4">
        <f t="shared" si="0"/>
        <v>6.5973445734</v>
      </c>
      <c r="D9" s="2">
        <v>154.30000000000001</v>
      </c>
    </row>
    <row r="10" spans="1:4" ht="16.149999999999999" thickBot="1" x14ac:dyDescent="0.45">
      <c r="A10" s="2">
        <v>9</v>
      </c>
      <c r="B10" s="2">
        <v>240</v>
      </c>
      <c r="C10" s="4">
        <f t="shared" si="0"/>
        <v>7.5398223695999995</v>
      </c>
      <c r="D10" s="2">
        <v>177.4</v>
      </c>
    </row>
    <row r="11" spans="1:4" ht="16.149999999999999" thickBot="1" x14ac:dyDescent="0.45">
      <c r="A11" s="2">
        <v>10</v>
      </c>
      <c r="B11" s="2">
        <v>270</v>
      </c>
      <c r="C11" s="4">
        <f t="shared" si="0"/>
        <v>8.4823001657999999</v>
      </c>
      <c r="D11" s="2">
        <v>200</v>
      </c>
    </row>
    <row r="12" spans="1:4" ht="16.149999999999999" thickBot="1" x14ac:dyDescent="0.45">
      <c r="A12" s="2">
        <v>11</v>
      </c>
      <c r="B12" s="2">
        <v>300</v>
      </c>
      <c r="C12" s="4">
        <f>4*3.141592654*10^(-7)/(2*0.1)*500*10^4*B12*10^(-3)</f>
        <v>9.4247779620000003</v>
      </c>
      <c r="D12" s="2">
        <v>220.6</v>
      </c>
    </row>
    <row r="13" spans="1:4" ht="16.149999999999999" thickBot="1" x14ac:dyDescent="0.45">
      <c r="C13" s="2"/>
    </row>
    <row r="14" spans="1:4" ht="31.9" thickBot="1" x14ac:dyDescent="0.45">
      <c r="A14" s="1" t="s">
        <v>4</v>
      </c>
      <c r="B14" s="6" t="s">
        <v>5</v>
      </c>
      <c r="C14" s="1" t="s">
        <v>6</v>
      </c>
    </row>
    <row r="15" spans="1:4" ht="16.149999999999999" thickBot="1" x14ac:dyDescent="0.45">
      <c r="A15" s="2">
        <v>0</v>
      </c>
      <c r="B15" s="7">
        <v>1</v>
      </c>
      <c r="C15" s="2">
        <v>144.9</v>
      </c>
    </row>
    <row r="16" spans="1:4" ht="16.149999999999999" thickBot="1" x14ac:dyDescent="0.45">
      <c r="A16" s="2">
        <v>5</v>
      </c>
      <c r="B16" s="7">
        <v>0.996</v>
      </c>
      <c r="C16" s="2">
        <v>144.30000000000001</v>
      </c>
    </row>
    <row r="17" spans="1:3" ht="16.149999999999999" thickBot="1" x14ac:dyDescent="0.45">
      <c r="A17" s="2">
        <v>10</v>
      </c>
      <c r="B17" s="7">
        <v>0.98499999999999999</v>
      </c>
      <c r="C17" s="2">
        <v>142.5</v>
      </c>
    </row>
    <row r="18" spans="1:3" ht="16.149999999999999" thickBot="1" x14ac:dyDescent="0.45">
      <c r="A18" s="2">
        <v>15</v>
      </c>
      <c r="B18" s="7">
        <v>0.96599999999999997</v>
      </c>
      <c r="C18" s="2">
        <v>139.9</v>
      </c>
    </row>
    <row r="19" spans="1:3" ht="16.149999999999999" thickBot="1" x14ac:dyDescent="0.45">
      <c r="A19" s="2">
        <v>20</v>
      </c>
      <c r="B19" s="7">
        <v>0.94</v>
      </c>
      <c r="C19" s="5">
        <v>136.1</v>
      </c>
    </row>
    <row r="20" spans="1:3" ht="16.149999999999999" thickBot="1" x14ac:dyDescent="0.45">
      <c r="A20" s="2">
        <v>25</v>
      </c>
      <c r="B20" s="7">
        <v>0.90600000000000003</v>
      </c>
      <c r="C20" s="5">
        <v>131.4</v>
      </c>
    </row>
    <row r="21" spans="1:3" ht="16.149999999999999" thickBot="1" x14ac:dyDescent="0.45">
      <c r="A21" s="2">
        <v>30</v>
      </c>
      <c r="B21" s="7">
        <v>0.86599999999999999</v>
      </c>
      <c r="C21" s="5">
        <v>125</v>
      </c>
    </row>
    <row r="22" spans="1:3" ht="16.149999999999999" thickBot="1" x14ac:dyDescent="0.45">
      <c r="A22" s="2">
        <v>35</v>
      </c>
      <c r="B22" s="7">
        <v>0.81899999999999995</v>
      </c>
      <c r="C22" s="5">
        <v>117.7</v>
      </c>
    </row>
    <row r="23" spans="1:3" ht="16.149999999999999" thickBot="1" x14ac:dyDescent="0.45">
      <c r="A23" s="2">
        <v>40</v>
      </c>
      <c r="B23" s="7">
        <v>0.76600000000000001</v>
      </c>
      <c r="C23" s="5">
        <v>109.6</v>
      </c>
    </row>
    <row r="24" spans="1:3" ht="16.149999999999999" thickBot="1" x14ac:dyDescent="0.45">
      <c r="A24" s="2">
        <v>45</v>
      </c>
      <c r="B24" s="7">
        <v>0.70699999999999996</v>
      </c>
      <c r="C24" s="5">
        <v>100.3</v>
      </c>
    </row>
    <row r="25" spans="1:3" ht="16.149999999999999" thickBot="1" x14ac:dyDescent="0.45">
      <c r="A25" s="2">
        <v>50</v>
      </c>
      <c r="B25" s="7">
        <v>0.64300000000000002</v>
      </c>
      <c r="C25" s="5">
        <v>90.3</v>
      </c>
    </row>
    <row r="26" spans="1:3" ht="16.149999999999999" thickBot="1" x14ac:dyDescent="0.45">
      <c r="A26" s="2">
        <v>55</v>
      </c>
      <c r="B26" s="7">
        <v>0.57399999999999995</v>
      </c>
      <c r="C26" s="5">
        <v>79.5</v>
      </c>
    </row>
    <row r="27" spans="1:3" ht="16.149999999999999" thickBot="1" x14ac:dyDescent="0.45">
      <c r="A27" s="2">
        <v>60</v>
      </c>
      <c r="B27" s="7">
        <v>0.5</v>
      </c>
      <c r="C27" s="5">
        <v>68.599999999999994</v>
      </c>
    </row>
    <row r="28" spans="1:3" ht="16.149999999999999" thickBot="1" x14ac:dyDescent="0.45">
      <c r="A28" s="2">
        <v>65</v>
      </c>
      <c r="B28" s="7">
        <v>0.42299999999999999</v>
      </c>
      <c r="C28" s="5">
        <v>56.6</v>
      </c>
    </row>
    <row r="29" spans="1:3" ht="16.149999999999999" thickBot="1" x14ac:dyDescent="0.45">
      <c r="A29" s="2">
        <v>70</v>
      </c>
      <c r="B29" s="7">
        <v>0.34200000000000003</v>
      </c>
      <c r="C29" s="5">
        <v>45.1</v>
      </c>
    </row>
    <row r="30" spans="1:3" ht="16.149999999999999" thickBot="1" x14ac:dyDescent="0.45">
      <c r="A30" s="2">
        <v>75</v>
      </c>
      <c r="B30" s="7">
        <v>0.25900000000000001</v>
      </c>
      <c r="C30" s="5">
        <v>33.299999999999997</v>
      </c>
    </row>
    <row r="31" spans="1:3" ht="16.149999999999999" thickBot="1" x14ac:dyDescent="0.45">
      <c r="A31" s="2">
        <v>80</v>
      </c>
      <c r="B31" s="7">
        <v>0.17399999999999999</v>
      </c>
      <c r="C31" s="5">
        <v>21.2</v>
      </c>
    </row>
    <row r="32" spans="1:3" ht="16.149999999999999" thickBot="1" x14ac:dyDescent="0.45">
      <c r="A32" s="2">
        <v>85</v>
      </c>
      <c r="B32" s="7">
        <v>8.6999999999999994E-2</v>
      </c>
      <c r="C32" s="5">
        <v>9.9</v>
      </c>
    </row>
    <row r="33" spans="1:6" ht="16.149999999999999" thickBot="1" x14ac:dyDescent="0.45">
      <c r="A33" s="2">
        <v>90</v>
      </c>
      <c r="B33" s="7">
        <v>0</v>
      </c>
      <c r="C33" s="5">
        <v>-3.2</v>
      </c>
    </row>
    <row r="35" spans="1:6" ht="14.25" thickBot="1" x14ac:dyDescent="0.45"/>
    <row r="36" spans="1:6" ht="31.5" customHeight="1" thickBot="1" x14ac:dyDescent="0.45">
      <c r="A36" s="11" t="s">
        <v>7</v>
      </c>
      <c r="B36" s="12"/>
      <c r="C36" s="11" t="s">
        <v>8</v>
      </c>
      <c r="D36" s="13"/>
      <c r="E36" s="13"/>
      <c r="F36" s="12"/>
    </row>
    <row r="37" spans="1:6" ht="47.65" thickBot="1" x14ac:dyDescent="0.45">
      <c r="A37" s="2" t="s">
        <v>1</v>
      </c>
      <c r="B37" s="8" t="s">
        <v>9</v>
      </c>
      <c r="C37" s="9" t="s">
        <v>10</v>
      </c>
      <c r="D37" s="9" t="s">
        <v>11</v>
      </c>
      <c r="E37" s="9" t="s">
        <v>12</v>
      </c>
      <c r="F37" s="9" t="s">
        <v>13</v>
      </c>
    </row>
    <row r="38" spans="1:6" ht="16.149999999999999" thickBot="1" x14ac:dyDescent="0.45">
      <c r="A38" s="2">
        <v>0</v>
      </c>
      <c r="B38" s="14">
        <f>4*3.141592654*10^(-7)/(2*0.1)*500*10^4*A38*10^(-3)</f>
        <v>0</v>
      </c>
      <c r="C38" s="8">
        <v>0</v>
      </c>
      <c r="D38" s="8">
        <v>0</v>
      </c>
      <c r="E38" s="8">
        <v>0</v>
      </c>
      <c r="F38" s="8">
        <v>0</v>
      </c>
    </row>
    <row r="39" spans="1:6" ht="16.149999999999999" thickBot="1" x14ac:dyDescent="0.45">
      <c r="A39" s="2">
        <v>30</v>
      </c>
      <c r="B39" s="14">
        <f t="shared" ref="B39:B48" si="1">4*3.141592654*10^(-7)/(2*0.1)*500*10^4*A39*10^(-3)</f>
        <v>0.94247779619999994</v>
      </c>
      <c r="C39" s="8">
        <v>19.5</v>
      </c>
      <c r="D39" s="8">
        <v>31.5</v>
      </c>
      <c r="E39" s="8">
        <v>38.799999999999997</v>
      </c>
      <c r="F39" s="8">
        <v>56.8</v>
      </c>
    </row>
    <row r="40" spans="1:6" ht="16.149999999999999" thickBot="1" x14ac:dyDescent="0.45">
      <c r="A40" s="2">
        <v>60</v>
      </c>
      <c r="B40" s="14">
        <f t="shared" si="1"/>
        <v>1.8849555923999999</v>
      </c>
      <c r="C40" s="8">
        <v>39.299999999999997</v>
      </c>
      <c r="D40" s="8">
        <v>63.6</v>
      </c>
      <c r="E40" s="8">
        <v>77.5</v>
      </c>
      <c r="F40" s="8">
        <v>111.3</v>
      </c>
    </row>
    <row r="41" spans="1:6" ht="16.149999999999999" thickBot="1" x14ac:dyDescent="0.45">
      <c r="A41" s="2">
        <v>90</v>
      </c>
      <c r="B41" s="14">
        <f t="shared" si="1"/>
        <v>2.8274333885999998</v>
      </c>
      <c r="C41" s="8">
        <v>61</v>
      </c>
      <c r="D41" s="8">
        <v>98.4</v>
      </c>
      <c r="E41" s="8">
        <v>120</v>
      </c>
      <c r="F41" s="8">
        <v>171.9</v>
      </c>
    </row>
    <row r="42" spans="1:6" ht="16.149999999999999" thickBot="1" x14ac:dyDescent="0.45">
      <c r="A42" s="2">
        <v>120</v>
      </c>
      <c r="B42" s="14">
        <f t="shared" si="1"/>
        <v>3.7699111847999998</v>
      </c>
      <c r="C42" s="8">
        <v>84</v>
      </c>
      <c r="D42" s="8">
        <v>133.1</v>
      </c>
      <c r="E42" s="8">
        <v>164.5</v>
      </c>
      <c r="F42" s="8">
        <v>236</v>
      </c>
    </row>
    <row r="43" spans="1:6" ht="16.149999999999999" thickBot="1" x14ac:dyDescent="0.45">
      <c r="A43" s="2">
        <v>150</v>
      </c>
      <c r="B43" s="14">
        <f t="shared" si="1"/>
        <v>4.7123889810000001</v>
      </c>
      <c r="C43" s="8">
        <v>107.5</v>
      </c>
      <c r="D43" s="8">
        <v>170.7</v>
      </c>
      <c r="E43" s="8">
        <v>211</v>
      </c>
      <c r="F43" s="8">
        <v>302.5</v>
      </c>
    </row>
    <row r="44" spans="1:6" ht="16.149999999999999" thickBot="1" x14ac:dyDescent="0.45">
      <c r="A44" s="2">
        <v>180</v>
      </c>
      <c r="B44" s="14">
        <f t="shared" si="1"/>
        <v>5.6548667771999996</v>
      </c>
      <c r="C44" s="8">
        <v>131.4</v>
      </c>
      <c r="D44" s="8">
        <v>208.1</v>
      </c>
      <c r="E44" s="8">
        <v>257.89999999999998</v>
      </c>
      <c r="F44" s="8">
        <v>370.2</v>
      </c>
    </row>
    <row r="45" spans="1:6" ht="16.149999999999999" thickBot="1" x14ac:dyDescent="0.45">
      <c r="A45" s="2">
        <v>210</v>
      </c>
      <c r="B45" s="14">
        <f t="shared" si="1"/>
        <v>6.5973445734</v>
      </c>
      <c r="C45" s="8">
        <v>154.30000000000001</v>
      </c>
      <c r="D45" s="8">
        <v>245.8</v>
      </c>
      <c r="E45" s="8">
        <v>304</v>
      </c>
      <c r="F45" s="8">
        <v>440.4</v>
      </c>
    </row>
    <row r="46" spans="1:6" ht="16.149999999999999" thickBot="1" x14ac:dyDescent="0.45">
      <c r="A46" s="2">
        <v>240</v>
      </c>
      <c r="B46" s="14">
        <f t="shared" si="1"/>
        <v>7.5398223695999995</v>
      </c>
      <c r="C46" s="8">
        <v>177.4</v>
      </c>
      <c r="D46" s="10">
        <v>282.3</v>
      </c>
      <c r="E46" s="8">
        <v>349</v>
      </c>
      <c r="F46" s="8">
        <v>503.3</v>
      </c>
    </row>
    <row r="47" spans="1:6" ht="16.149999999999999" thickBot="1" x14ac:dyDescent="0.45">
      <c r="A47" s="2">
        <v>270</v>
      </c>
      <c r="B47" s="14">
        <f t="shared" si="1"/>
        <v>8.4823001657999999</v>
      </c>
      <c r="C47" s="8">
        <v>200</v>
      </c>
      <c r="D47" s="8">
        <v>317.8</v>
      </c>
      <c r="E47" s="8">
        <v>386.8</v>
      </c>
      <c r="F47" s="8">
        <v>568.79999999999995</v>
      </c>
    </row>
    <row r="48" spans="1:6" ht="16.149999999999999" thickBot="1" x14ac:dyDescent="0.45">
      <c r="A48" s="2">
        <v>300</v>
      </c>
      <c r="B48" s="14">
        <f t="shared" si="1"/>
        <v>9.4247779620000003</v>
      </c>
      <c r="C48" s="8">
        <v>220.6</v>
      </c>
      <c r="D48" s="8">
        <v>348.9</v>
      </c>
      <c r="E48" s="8">
        <v>426.8</v>
      </c>
      <c r="F48" s="8">
        <v>625.1</v>
      </c>
    </row>
    <row r="49" spans="1:9" ht="14.25" thickBot="1" x14ac:dyDescent="0.45"/>
    <row r="50" spans="1:9" ht="16.149999999999999" thickBot="1" x14ac:dyDescent="0.45">
      <c r="A50" s="11" t="s">
        <v>7</v>
      </c>
      <c r="B50" s="13"/>
      <c r="C50" s="13"/>
      <c r="D50" s="13"/>
      <c r="E50" s="12"/>
      <c r="F50" s="11" t="s">
        <v>8</v>
      </c>
      <c r="G50" s="13"/>
      <c r="H50" s="13"/>
      <c r="I50" s="12"/>
    </row>
    <row r="51" spans="1:9" ht="47.65" thickBot="1" x14ac:dyDescent="0.45">
      <c r="A51" s="15" t="s">
        <v>1</v>
      </c>
      <c r="B51" s="11" t="s">
        <v>9</v>
      </c>
      <c r="C51" s="13"/>
      <c r="D51" s="13"/>
      <c r="E51" s="12"/>
      <c r="F51" s="16" t="s">
        <v>10</v>
      </c>
      <c r="G51" s="16" t="s">
        <v>11</v>
      </c>
      <c r="H51" s="16" t="s">
        <v>12</v>
      </c>
      <c r="I51" s="16" t="s">
        <v>13</v>
      </c>
    </row>
    <row r="52" spans="1:9" ht="16.149999999999999" thickBot="1" x14ac:dyDescent="0.45">
      <c r="A52" s="3"/>
      <c r="B52" s="8" t="s">
        <v>10</v>
      </c>
      <c r="C52" s="9" t="s">
        <v>11</v>
      </c>
      <c r="D52" s="9" t="s">
        <v>12</v>
      </c>
      <c r="E52" s="9" t="s">
        <v>13</v>
      </c>
      <c r="F52" s="8"/>
      <c r="G52" s="8"/>
      <c r="H52" s="8"/>
      <c r="I52" s="8"/>
    </row>
    <row r="53" spans="1:9" ht="16.149999999999999" thickBot="1" x14ac:dyDescent="0.45">
      <c r="A53" s="2">
        <v>0</v>
      </c>
      <c r="B53" s="17">
        <v>0</v>
      </c>
      <c r="C53" s="17">
        <f>4*3.141592654*10^(-7)/(2*0.1)*500*10^4*A53*10^(-3)</f>
        <v>0</v>
      </c>
      <c r="D53" s="17"/>
      <c r="E53" s="17"/>
      <c r="F53" s="8">
        <v>0</v>
      </c>
      <c r="G53" s="8">
        <v>0</v>
      </c>
      <c r="H53" s="8">
        <v>0</v>
      </c>
      <c r="I53" s="8">
        <v>0</v>
      </c>
    </row>
    <row r="54" spans="1:9" ht="16.149999999999999" thickBot="1" x14ac:dyDescent="0.45">
      <c r="A54" s="2">
        <v>30</v>
      </c>
      <c r="B54" s="17">
        <v>0.94199999999999995</v>
      </c>
      <c r="C54" s="17"/>
      <c r="D54" s="17"/>
      <c r="E54" s="17"/>
      <c r="F54" s="8">
        <v>19.5</v>
      </c>
      <c r="G54" s="8">
        <v>31.5</v>
      </c>
      <c r="H54" s="8">
        <v>38.799999999999997</v>
      </c>
      <c r="I54" s="8">
        <v>56.8</v>
      </c>
    </row>
    <row r="55" spans="1:9" ht="16.149999999999999" thickBot="1" x14ac:dyDescent="0.45">
      <c r="A55" s="2">
        <v>60</v>
      </c>
      <c r="B55" s="17">
        <v>1.885</v>
      </c>
      <c r="C55" s="17"/>
      <c r="D55" s="17"/>
      <c r="E55" s="17"/>
      <c r="F55" s="8">
        <v>39.299999999999997</v>
      </c>
      <c r="G55" s="8">
        <v>63.6</v>
      </c>
      <c r="H55" s="8">
        <v>77.5</v>
      </c>
      <c r="I55" s="8">
        <v>111.3</v>
      </c>
    </row>
    <row r="56" spans="1:9" ht="16.149999999999999" thickBot="1" x14ac:dyDescent="0.45">
      <c r="A56" s="2">
        <v>90</v>
      </c>
      <c r="B56" s="17">
        <v>2.827</v>
      </c>
      <c r="C56" s="17"/>
      <c r="D56" s="17"/>
      <c r="E56" s="17"/>
      <c r="F56" s="8">
        <v>61</v>
      </c>
      <c r="G56" s="8">
        <v>98.4</v>
      </c>
      <c r="H56" s="8">
        <v>120</v>
      </c>
      <c r="I56" s="8">
        <v>171.9</v>
      </c>
    </row>
    <row r="57" spans="1:9" ht="16.149999999999999" thickBot="1" x14ac:dyDescent="0.45">
      <c r="A57" s="2">
        <v>120</v>
      </c>
      <c r="B57" s="17">
        <v>3.77</v>
      </c>
      <c r="C57" s="17"/>
      <c r="D57" s="17"/>
      <c r="E57" s="17"/>
      <c r="F57" s="8">
        <v>84</v>
      </c>
      <c r="G57" s="8">
        <v>133.1</v>
      </c>
      <c r="H57" s="8">
        <v>164.5</v>
      </c>
      <c r="I57" s="8">
        <v>236</v>
      </c>
    </row>
    <row r="58" spans="1:9" ht="16.149999999999999" thickBot="1" x14ac:dyDescent="0.45">
      <c r="A58" s="2">
        <v>150</v>
      </c>
      <c r="B58" s="17">
        <v>4.7119999999999997</v>
      </c>
      <c r="C58" s="17"/>
      <c r="D58" s="17"/>
      <c r="E58" s="17"/>
      <c r="F58" s="8">
        <v>107.5</v>
      </c>
      <c r="G58" s="8">
        <v>170.7</v>
      </c>
      <c r="H58" s="8">
        <v>211</v>
      </c>
      <c r="I58" s="8">
        <v>302.5</v>
      </c>
    </row>
    <row r="59" spans="1:9" ht="16.149999999999999" thickBot="1" x14ac:dyDescent="0.45">
      <c r="A59" s="2">
        <v>180</v>
      </c>
      <c r="B59" s="17">
        <v>5.6550000000000002</v>
      </c>
      <c r="C59" s="17"/>
      <c r="D59" s="17"/>
      <c r="E59" s="17"/>
      <c r="F59" s="8">
        <v>131.4</v>
      </c>
      <c r="G59" s="8">
        <v>208.1</v>
      </c>
      <c r="H59" s="8">
        <v>257.89999999999998</v>
      </c>
      <c r="I59" s="8">
        <v>370.2</v>
      </c>
    </row>
    <row r="60" spans="1:9" ht="16.149999999999999" thickBot="1" x14ac:dyDescent="0.45">
      <c r="A60" s="2">
        <v>210</v>
      </c>
      <c r="B60" s="17">
        <v>6.5970000000000004</v>
      </c>
      <c r="C60" s="17"/>
      <c r="D60" s="17"/>
      <c r="E60" s="17"/>
      <c r="F60" s="8">
        <v>154.30000000000001</v>
      </c>
      <c r="G60" s="8">
        <v>245.8</v>
      </c>
      <c r="H60" s="8">
        <v>304</v>
      </c>
      <c r="I60" s="8">
        <v>440.4</v>
      </c>
    </row>
    <row r="61" spans="1:9" ht="16.149999999999999" thickBot="1" x14ac:dyDescent="0.45">
      <c r="A61" s="2">
        <v>240</v>
      </c>
      <c r="B61" s="17">
        <v>7.54</v>
      </c>
      <c r="C61" s="17"/>
      <c r="D61" s="17"/>
      <c r="E61" s="17"/>
      <c r="F61" s="8">
        <v>177.4</v>
      </c>
      <c r="G61" s="10">
        <v>282.3</v>
      </c>
      <c r="H61" s="8">
        <v>349</v>
      </c>
      <c r="I61" s="8">
        <v>503.3</v>
      </c>
    </row>
    <row r="62" spans="1:9" ht="16.149999999999999" thickBot="1" x14ac:dyDescent="0.45">
      <c r="A62" s="2">
        <v>270</v>
      </c>
      <c r="B62" s="17">
        <v>8.4819999999999993</v>
      </c>
      <c r="C62" s="17"/>
      <c r="D62" s="17"/>
      <c r="E62" s="17"/>
      <c r="F62" s="8">
        <v>200</v>
      </c>
      <c r="G62" s="8">
        <v>317.8</v>
      </c>
      <c r="H62" s="8">
        <v>386.8</v>
      </c>
      <c r="I62" s="8">
        <v>568.79999999999995</v>
      </c>
    </row>
    <row r="63" spans="1:9" ht="16.149999999999999" thickBot="1" x14ac:dyDescent="0.45">
      <c r="A63" s="2">
        <v>300</v>
      </c>
      <c r="B63" s="17">
        <v>9.4250000000000007</v>
      </c>
      <c r="C63" s="17"/>
      <c r="D63" s="17"/>
      <c r="E63" s="17"/>
      <c r="F63" s="8">
        <v>220.6</v>
      </c>
      <c r="G63" s="8">
        <v>348.9</v>
      </c>
      <c r="H63" s="8">
        <v>426.8</v>
      </c>
      <c r="I63" s="8">
        <v>625.1</v>
      </c>
    </row>
  </sheetData>
  <mergeCells count="5">
    <mergeCell ref="A36:B36"/>
    <mergeCell ref="C36:F36"/>
    <mergeCell ref="A50:E50"/>
    <mergeCell ref="F50:I50"/>
    <mergeCell ref="B51:E5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sheng</dc:creator>
  <cp:lastModifiedBy>xi sheng</cp:lastModifiedBy>
  <dcterms:created xsi:type="dcterms:W3CDTF">2024-03-27T10:52:05Z</dcterms:created>
  <dcterms:modified xsi:type="dcterms:W3CDTF">2024-03-27T13:26:17Z</dcterms:modified>
</cp:coreProperties>
</file>