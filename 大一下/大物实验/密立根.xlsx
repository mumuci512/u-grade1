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<sst xmlns="http://schemas.openxmlformats.org/spreadsheetml/2006/main" count="4" uniqueCount="4">
  <si>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电压</t>
  </si>
  <si>
    <t>时间</t>
  </si>
  <si>
    <t>半径</t>
  </si>
  <si>
    <t>电荷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</si>
</sst>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"q"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Sheet1!$I$2:$I$9</c:f>
              <c:numCache>
                <c:formatCode>General</c:formatCode>
                <c:ptCount val="8"/>
                <c:pt idx="0">
                  <c:v>11</c:v>
                </c:pt>
                <c:pt idx="1">
                  <c:v>20</c:v>
                </c:pt>
                <c:pt idx="2">
                  <c:v>12</c:v>
                </c:pt>
                <c:pt idx="3">
                  <c:v>20</c:v>
                </c:pt>
                <c:pt idx="4">
                  <c:v>9</c:v>
                </c:pt>
                <c:pt idx="5">
                  <c:v>37</c:v>
                </c:pt>
                <c:pt idx="6">
                  <c:v>12</c:v>
                </c:pt>
                <c:pt idx="7">
                  <c:v>12</c:v>
                </c:pt>
              </c:numCache>
            </c:numRef>
          </c:xVal>
          <c:yVal>
            <c:numRef>
              <c:f>Sheet1!$G$2:$G$9</c:f>
              <c:numCache>
                <c:formatCode>General</c:formatCode>
                <c:ptCount val="8"/>
                <c:pt idx="0">
                  <c:v>17.6125294081049</c:v>
                </c:pt>
                <c:pt idx="1">
                  <c:v>31.6424767385617</c:v>
                </c:pt>
                <c:pt idx="2">
                  <c:v>18.999897703325</c:v>
                </c:pt>
                <c:pt idx="3">
                  <c:v>32.6751519965663</c:v>
                </c:pt>
                <c:pt idx="4">
                  <c:v>14.3085074980437</c:v>
                </c:pt>
                <c:pt idx="5">
                  <c:v>59.0298009094671</c:v>
                </c:pt>
                <c:pt idx="6">
                  <c:v>19.5162781955277</c:v>
                </c:pt>
                <c:pt idx="7">
                  <c:v>19.0937964557542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600031"/>
        <c:axId val="461590431"/>
      </c:scatterChart>
      <c:valAx>
        <c:axId val="46160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590431"/>
        <c:crosses val="autoZero"/>
        <c:crossBetween val="midCat"/>
      </c:valAx>
      <c:valAx>
        <c:axId val="46159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160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516731</xdr:colOff>
      <xdr:row>11</xdr:row>
      <xdr:rowOff>9525</xdr:rowOff>
    </xdr:from>
    <xdr:to>
      <xdr:col>9</xdr:col>
      <xdr:colOff>516731</xdr:colOff>
      <xdr:row>27</xdr:row>
      <xdr:rowOff>9525</xdr:rowOff>
    </xdr:to>
    <xdr:graphicFrame>
      <xdr:nvGraphicFramePr>
        <xdr:cNvPr id="2" name="图表 1"/>
        <xdr:cNvGraphicFramePr/>
      </xdr:nvGraphicFramePr>
      <xdr:xfrm>
        <a:off x="3606165" y="1895475"/>
        <a:ext cx="4591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M15" sqref="M15"/>
    </sheetView>
  </sheetViews>
  <sheetFormatPr defaultColWidth="8.73451327433628" defaultRowHeight="13.5"/>
  <cols>
    <col min="3" max="10" width="12.7964601769912"/>
  </cols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10">
      <c r="A2">
        <v>164.9</v>
      </c>
      <c r="B2">
        <v>32.13</v>
      </c>
      <c r="C2">
        <f>POWER(9*1.83*0.00001/(2*9.794*981*B2),1/2)</f>
        <v>1.63328466867086e-5</v>
      </c>
      <c r="D2">
        <f>(1+0.00823/(101325*C2))*B2</f>
        <v>32.2897835489007</v>
      </c>
      <c r="E2">
        <f>POWER(1.83*0.00001*1.6*0.01/D2,3/2)</f>
        <v>8.63493172276487e-13</v>
      </c>
      <c r="F2">
        <f>POWER(2,1/2)*9*3.1415926*5*0.001*POWER(1/(981*9.794),1/2)*E2</f>
        <v>1.76125294081049e-15</v>
      </c>
      <c r="G2">
        <f>F2*POWER(10,19)/1000</f>
        <v>17.6125294081049</v>
      </c>
      <c r="H2">
        <f>G2/1.6021</f>
        <v>10.9934020398882</v>
      </c>
      <c r="I2">
        <v>11</v>
      </c>
      <c r="J2">
        <f>G2/I2</f>
        <v>1.60113903710045</v>
      </c>
    </row>
    <row r="3" spans="1:10">
      <c r="A3">
        <v>193.6</v>
      </c>
      <c r="B3">
        <v>21.76</v>
      </c>
      <c r="C3">
        <f t="shared" ref="C3:C9" si="0">POWER(9*1.83*0.00001/(2*9.794*981*B3),1/2)</f>
        <v>1.9846677045639e-5</v>
      </c>
      <c r="D3">
        <f t="shared" ref="D3:D9" si="1">(1+0.00823/(101325*C3))*B3</f>
        <v>21.8490541804196</v>
      </c>
      <c r="E3">
        <f t="shared" ref="E3:E9" si="2">POWER(1.83*0.00001*1.6*0.01/D3,3/2)</f>
        <v>1.55134234183831e-12</v>
      </c>
      <c r="F3">
        <f t="shared" ref="F3:F9" si="3">POWER(2,1/2)*9*3.1415926*5*0.001*POWER(1/(981*9.794),1/2)*E3</f>
        <v>3.16424767385617e-15</v>
      </c>
      <c r="G3">
        <f t="shared" ref="G3:G9" si="4">F3*POWER(10,19)/1000</f>
        <v>31.6424767385617</v>
      </c>
      <c r="H3">
        <f t="shared" ref="H3:H9" si="5">G3/1.6021</f>
        <v>19.7506252659395</v>
      </c>
      <c r="I3">
        <v>20</v>
      </c>
      <c r="J3">
        <f t="shared" ref="J3:J9" si="6">G3/I3</f>
        <v>1.58212383692808</v>
      </c>
    </row>
    <row r="4" spans="1:10">
      <c r="A4">
        <v>156.5</v>
      </c>
      <c r="B4">
        <v>30.55</v>
      </c>
      <c r="C4">
        <f t="shared" si="0"/>
        <v>1.67498777219513e-5</v>
      </c>
      <c r="D4">
        <f t="shared" si="1"/>
        <v>30.6981435666804</v>
      </c>
      <c r="E4">
        <f t="shared" si="2"/>
        <v>9.3151196858885e-13</v>
      </c>
      <c r="F4">
        <f t="shared" si="3"/>
        <v>1.8999897703325e-15</v>
      </c>
      <c r="G4">
        <f t="shared" si="4"/>
        <v>18.999897703325</v>
      </c>
      <c r="H4">
        <f t="shared" si="5"/>
        <v>11.8593706406123</v>
      </c>
      <c r="I4">
        <v>12</v>
      </c>
      <c r="J4">
        <f t="shared" si="6"/>
        <v>1.58332480861041</v>
      </c>
    </row>
    <row r="5" spans="1:10">
      <c r="A5">
        <v>174.3</v>
      </c>
      <c r="B5">
        <v>21.3</v>
      </c>
      <c r="C5">
        <f t="shared" si="0"/>
        <v>2.00598391591584e-5</v>
      </c>
      <c r="D5">
        <f t="shared" si="1"/>
        <v>21.3862452885885</v>
      </c>
      <c r="E5">
        <f t="shared" si="2"/>
        <v>1.60197152824327e-12</v>
      </c>
      <c r="F5">
        <f t="shared" si="3"/>
        <v>3.26751519965663e-15</v>
      </c>
      <c r="G5">
        <f t="shared" si="4"/>
        <v>32.6751519965663</v>
      </c>
      <c r="H5">
        <f t="shared" si="5"/>
        <v>20.3952012961527</v>
      </c>
      <c r="I5">
        <v>20</v>
      </c>
      <c r="J5">
        <f t="shared" si="6"/>
        <v>1.63375759982831</v>
      </c>
    </row>
    <row r="6" spans="1:10">
      <c r="A6">
        <v>250.5</v>
      </c>
      <c r="B6">
        <v>36.89</v>
      </c>
      <c r="C6">
        <f t="shared" si="0"/>
        <v>1.52427357463992e-5</v>
      </c>
      <c r="D6">
        <f t="shared" si="1"/>
        <v>37.0865753046563</v>
      </c>
      <c r="E6">
        <f t="shared" si="2"/>
        <v>7.01506197306449e-13</v>
      </c>
      <c r="F6">
        <f t="shared" si="3"/>
        <v>1.43085074980437e-15</v>
      </c>
      <c r="G6">
        <f t="shared" si="4"/>
        <v>14.3085074980437</v>
      </c>
      <c r="H6">
        <f t="shared" si="5"/>
        <v>8.93109512392717</v>
      </c>
      <c r="I6">
        <v>9</v>
      </c>
      <c r="J6">
        <f t="shared" si="6"/>
        <v>1.5898341664493</v>
      </c>
    </row>
    <row r="7" spans="1:10">
      <c r="A7" s="1">
        <v>203</v>
      </c>
      <c r="B7">
        <v>14.37</v>
      </c>
      <c r="C7">
        <f t="shared" si="0"/>
        <v>2.44224294747794e-5</v>
      </c>
      <c r="D7">
        <f t="shared" si="1"/>
        <v>14.417791551185</v>
      </c>
      <c r="E7">
        <f t="shared" si="2"/>
        <v>2.89406642652412e-12</v>
      </c>
      <c r="F7">
        <f t="shared" si="3"/>
        <v>5.90298009094671e-15</v>
      </c>
      <c r="G7">
        <f t="shared" si="4"/>
        <v>59.0298009094671</v>
      </c>
      <c r="H7">
        <f t="shared" si="5"/>
        <v>36.8452661565864</v>
      </c>
      <c r="I7">
        <v>37</v>
      </c>
      <c r="J7">
        <f t="shared" si="6"/>
        <v>1.59540002458019</v>
      </c>
    </row>
    <row r="8" spans="1:10">
      <c r="A8">
        <v>162.1</v>
      </c>
      <c r="B8">
        <v>30.01</v>
      </c>
      <c r="C8">
        <f t="shared" si="0"/>
        <v>1.68999045020211e-5</v>
      </c>
      <c r="D8">
        <f t="shared" si="1"/>
        <v>30.1542331099018</v>
      </c>
      <c r="E8">
        <f t="shared" si="2"/>
        <v>9.56828663254448e-13</v>
      </c>
      <c r="F8">
        <f t="shared" si="3"/>
        <v>1.95162781955277e-15</v>
      </c>
      <c r="G8">
        <f t="shared" si="4"/>
        <v>19.5162781955277</v>
      </c>
      <c r="H8">
        <f t="shared" si="5"/>
        <v>12.1816854101041</v>
      </c>
      <c r="I8">
        <v>12</v>
      </c>
      <c r="J8">
        <f t="shared" si="6"/>
        <v>1.62635651629398</v>
      </c>
    </row>
    <row r="9" spans="1:10">
      <c r="A9">
        <v>160.5</v>
      </c>
      <c r="B9">
        <v>30.45</v>
      </c>
      <c r="C9">
        <f t="shared" si="0"/>
        <v>1.67773590820576e-5</v>
      </c>
      <c r="D9">
        <f t="shared" si="1"/>
        <v>30.5974167797571</v>
      </c>
      <c r="E9">
        <f t="shared" si="2"/>
        <v>9.36115562412837e-13</v>
      </c>
      <c r="F9">
        <f t="shared" si="3"/>
        <v>1.90937964557542e-15</v>
      </c>
      <c r="G9">
        <f t="shared" si="4"/>
        <v>19.0937964557542</v>
      </c>
      <c r="H9">
        <f t="shared" si="5"/>
        <v>11.9179804355248</v>
      </c>
      <c r="I9">
        <v>12</v>
      </c>
      <c r="J9">
        <f t="shared" si="6"/>
        <v>1.59114970464619</v>
      </c>
    </row>
    <row r="10" spans="10:10">
      <c r="J10">
        <f ca="1">AVERAGE(J2:J3:J4:J5:J6:J7:J8:J9)</f>
        <v>1.60038571180461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€</cp:lastModifiedBy>
  <dcterms:created xsi:type="dcterms:W3CDTF">2024-05-16T08:48:00Z</dcterms:created>
  <dcterms:modified xsi:type="dcterms:W3CDTF">2024-05-16T13:52:31Z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6B1EC25E096940779F7ABE536B9DF4AB_13</vt:lpwstr>
  </property>
  <property fmtid="{D5CDD505-2E9C-101B-9397-08002B2CF9AE}" pid="3" name="KSOProductBuildVer">
    <vt:lpwstr>2052-12.1.0.16729</vt:lpwstr>
  </property>
</Properties>
</file>