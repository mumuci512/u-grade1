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19e0d8ca6a452/学习/大一下/行星笔记/"/>
    </mc:Choice>
  </mc:AlternateContent>
  <xr:revisionPtr revIDLastSave="0" documentId="8_{40FCF22A-5E85-48A2-B5CA-B68C07D56E9D}" xr6:coauthVersionLast="47" xr6:coauthVersionMax="47" xr10:uidLastSave="{00000000-0000-0000-0000-000000000000}"/>
  <bookViews>
    <workbookView xWindow="-98" yWindow="-98" windowWidth="21795" windowHeight="12975" xr2:uid="{A7B01BFF-F0A1-40D7-9BF1-A4BE8496D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1" i="1"/>
  <c r="D40" i="1"/>
  <c r="B40" i="1"/>
  <c r="A4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  <c r="C37" i="1"/>
  <c r="D37" i="1"/>
  <c r="C36" i="1"/>
  <c r="D36" i="1"/>
  <c r="C35" i="1"/>
  <c r="D3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</calcChain>
</file>

<file path=xl/sharedStrings.xml><?xml version="1.0" encoding="utf-8"?>
<sst xmlns="http://schemas.openxmlformats.org/spreadsheetml/2006/main" count="5" uniqueCount="5">
  <si>
    <t>green weight</t>
    <phoneticPr fontId="1" type="noConversion"/>
  </si>
  <si>
    <t>dry weight</t>
    <phoneticPr fontId="1" type="noConversion"/>
  </si>
  <si>
    <t>total weight</t>
    <phoneticPr fontId="1" type="noConversion"/>
  </si>
  <si>
    <t>d/g</t>
    <phoneticPr fontId="1" type="noConversion"/>
  </si>
  <si>
    <t>total/d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</si>
</sst>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A9E9-5033-43E5-AACD-0E0A13AF6E49}">
  <dimension ref="A1:G40"/>
  <sheetViews>
    <sheetView tabSelected="1" workbookViewId="0">
      <selection activeCell="G1" sqref="G1:G5"/>
    </sheetView>
  </sheetViews>
  <sheetFormatPr defaultRowHeight="13.9" x14ac:dyDescent="0.4"/>
  <cols>
    <col min="1" max="1" width="15.265625" customWidth="1"/>
    <col min="2" max="2" width="12.6640625" customWidth="1"/>
    <col min="7" max="7" width="12.1328125" bestFit="1" customWidth="1"/>
  </cols>
  <sheetData>
    <row r="1" spans="1:7" ht="14.25" thickBo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11.3</v>
      </c>
      <c r="G1" s="3">
        <f>F1*10^9/695.584</f>
        <v>16245342.043520266</v>
      </c>
    </row>
    <row r="2" spans="1:7" ht="14.25" thickBot="1" x14ac:dyDescent="0.45">
      <c r="A2">
        <v>4850</v>
      </c>
      <c r="B2">
        <v>3888</v>
      </c>
      <c r="C2">
        <f>A2+B2</f>
        <v>8738</v>
      </c>
      <c r="D2">
        <f>B2/A2</f>
        <v>0.80164948453608242</v>
      </c>
      <c r="E2">
        <f>C2/B2</f>
        <v>2.2474279835390947</v>
      </c>
      <c r="F2" s="2">
        <v>4.9000000000000004</v>
      </c>
      <c r="G2" s="3">
        <f t="shared" ref="G2:G5" si="0">F2*10^9/695.584</f>
        <v>7044440.3551548058</v>
      </c>
    </row>
    <row r="3" spans="1:7" ht="14.25" thickBot="1" x14ac:dyDescent="0.45">
      <c r="A3">
        <v>4184</v>
      </c>
      <c r="B3">
        <v>2880</v>
      </c>
      <c r="C3">
        <f t="shared" ref="C3:C37" si="1">A3+B3</f>
        <v>7064</v>
      </c>
      <c r="D3">
        <f t="shared" ref="D3:D37" si="2">B3/A3</f>
        <v>0.68833652007648183</v>
      </c>
      <c r="E3">
        <f t="shared" ref="E3:E37" si="3">C3/B3</f>
        <v>2.4527777777777779</v>
      </c>
      <c r="F3" s="2">
        <v>2.6</v>
      </c>
      <c r="G3" s="3">
        <f t="shared" si="0"/>
        <v>3737866.3108984684</v>
      </c>
    </row>
    <row r="4" spans="1:7" ht="14.25" thickBot="1" x14ac:dyDescent="0.45">
      <c r="A4">
        <v>4404</v>
      </c>
      <c r="B4">
        <v>1984</v>
      </c>
      <c r="C4">
        <f t="shared" si="1"/>
        <v>6388</v>
      </c>
      <c r="D4">
        <f t="shared" si="2"/>
        <v>0.45049954586739327</v>
      </c>
      <c r="E4">
        <f t="shared" si="3"/>
        <v>3.219758064516129</v>
      </c>
      <c r="F4" s="2">
        <v>1.6</v>
      </c>
      <c r="G4" s="3">
        <f t="shared" si="0"/>
        <v>2300225.4220913653</v>
      </c>
    </row>
    <row r="5" spans="1:7" ht="14.25" thickBot="1" x14ac:dyDescent="0.45">
      <c r="A5">
        <v>4312</v>
      </c>
      <c r="B5">
        <v>2992</v>
      </c>
      <c r="C5">
        <f t="shared" si="1"/>
        <v>7304</v>
      </c>
      <c r="D5">
        <f t="shared" si="2"/>
        <v>0.69387755102040816</v>
      </c>
      <c r="E5">
        <f t="shared" si="3"/>
        <v>2.4411764705882355</v>
      </c>
      <c r="F5" s="2">
        <v>2.8</v>
      </c>
      <c r="G5" s="3">
        <f t="shared" si="0"/>
        <v>4025394.488659889</v>
      </c>
    </row>
    <row r="6" spans="1:7" x14ac:dyDescent="0.4">
      <c r="A6">
        <v>3589</v>
      </c>
      <c r="B6">
        <v>2632</v>
      </c>
      <c r="C6">
        <f t="shared" si="1"/>
        <v>6221</v>
      </c>
      <c r="D6">
        <f t="shared" si="2"/>
        <v>0.73335190860964061</v>
      </c>
      <c r="E6">
        <f t="shared" si="3"/>
        <v>2.3636018237082066</v>
      </c>
    </row>
    <row r="7" spans="1:7" x14ac:dyDescent="0.4">
      <c r="A7">
        <v>4210</v>
      </c>
      <c r="B7">
        <v>1984</v>
      </c>
      <c r="C7">
        <f t="shared" si="1"/>
        <v>6194</v>
      </c>
      <c r="D7">
        <f t="shared" si="2"/>
        <v>0.47125890736342041</v>
      </c>
      <c r="E7">
        <f t="shared" si="3"/>
        <v>3.121975806451613</v>
      </c>
    </row>
    <row r="8" spans="1:7" x14ac:dyDescent="0.4">
      <c r="A8">
        <v>4560</v>
      </c>
      <c r="B8">
        <v>2360</v>
      </c>
      <c r="C8">
        <f t="shared" si="1"/>
        <v>6920</v>
      </c>
      <c r="D8">
        <f t="shared" si="2"/>
        <v>0.51754385964912286</v>
      </c>
      <c r="E8">
        <f t="shared" si="3"/>
        <v>2.9322033898305087</v>
      </c>
    </row>
    <row r="9" spans="1:7" x14ac:dyDescent="0.4">
      <c r="A9">
        <v>3696</v>
      </c>
      <c r="B9">
        <v>2928</v>
      </c>
      <c r="C9">
        <f t="shared" si="1"/>
        <v>6624</v>
      </c>
      <c r="D9">
        <f t="shared" si="2"/>
        <v>0.79220779220779225</v>
      </c>
      <c r="E9">
        <f t="shared" si="3"/>
        <v>2.262295081967213</v>
      </c>
    </row>
    <row r="10" spans="1:7" x14ac:dyDescent="0.4">
      <c r="A10">
        <v>3872</v>
      </c>
      <c r="B10">
        <v>3112</v>
      </c>
      <c r="C10">
        <f t="shared" si="1"/>
        <v>6984</v>
      </c>
      <c r="D10">
        <f t="shared" si="2"/>
        <v>0.80371900826446285</v>
      </c>
      <c r="E10">
        <f t="shared" si="3"/>
        <v>2.2442159383033418</v>
      </c>
    </row>
    <row r="11" spans="1:7" x14ac:dyDescent="0.4">
      <c r="A11">
        <v>4640</v>
      </c>
      <c r="B11">
        <v>2272</v>
      </c>
      <c r="C11">
        <f t="shared" si="1"/>
        <v>6912</v>
      </c>
      <c r="D11">
        <f t="shared" si="2"/>
        <v>0.48965517241379308</v>
      </c>
      <c r="E11">
        <f t="shared" si="3"/>
        <v>3.0422535211267605</v>
      </c>
    </row>
    <row r="12" spans="1:7" x14ac:dyDescent="0.4">
      <c r="A12">
        <v>3319</v>
      </c>
      <c r="B12">
        <v>2970</v>
      </c>
      <c r="C12">
        <f t="shared" si="1"/>
        <v>6289</v>
      </c>
      <c r="D12">
        <f t="shared" si="2"/>
        <v>0.89484784573666765</v>
      </c>
      <c r="E12">
        <f t="shared" si="3"/>
        <v>2.1175084175084176</v>
      </c>
    </row>
    <row r="13" spans="1:7" x14ac:dyDescent="0.4">
      <c r="A13">
        <v>4456</v>
      </c>
      <c r="B13">
        <v>2872</v>
      </c>
      <c r="C13">
        <f t="shared" si="1"/>
        <v>7328</v>
      </c>
      <c r="D13">
        <f t="shared" si="2"/>
        <v>0.64452423698384198</v>
      </c>
      <c r="E13">
        <f t="shared" si="3"/>
        <v>2.551532033426184</v>
      </c>
    </row>
    <row r="14" spans="1:7" x14ac:dyDescent="0.4">
      <c r="A14">
        <v>4800</v>
      </c>
      <c r="B14">
        <v>3112</v>
      </c>
      <c r="C14">
        <f t="shared" si="1"/>
        <v>7912</v>
      </c>
      <c r="D14">
        <f t="shared" si="2"/>
        <v>0.64833333333333332</v>
      </c>
      <c r="E14">
        <f t="shared" si="3"/>
        <v>2.5424164524421595</v>
      </c>
    </row>
    <row r="15" spans="1:7" x14ac:dyDescent="0.4">
      <c r="A15">
        <v>3800</v>
      </c>
      <c r="B15">
        <v>3020</v>
      </c>
      <c r="C15">
        <f t="shared" si="1"/>
        <v>6820</v>
      </c>
      <c r="D15">
        <f t="shared" si="2"/>
        <v>0.79473684210526319</v>
      </c>
      <c r="E15">
        <f t="shared" si="3"/>
        <v>2.2582781456953644</v>
      </c>
    </row>
    <row r="16" spans="1:7" x14ac:dyDescent="0.4">
      <c r="A16">
        <v>3585</v>
      </c>
      <c r="B16">
        <v>2104</v>
      </c>
      <c r="C16">
        <f t="shared" si="1"/>
        <v>5689</v>
      </c>
      <c r="D16">
        <f t="shared" si="2"/>
        <v>0.58688981868898182</v>
      </c>
      <c r="E16">
        <f t="shared" si="3"/>
        <v>2.703897338403042</v>
      </c>
    </row>
    <row r="17" spans="1:5" x14ac:dyDescent="0.4">
      <c r="A17">
        <v>3984</v>
      </c>
      <c r="B17">
        <v>3048</v>
      </c>
      <c r="C17">
        <f t="shared" si="1"/>
        <v>7032</v>
      </c>
      <c r="D17">
        <f t="shared" si="2"/>
        <v>0.76506024096385539</v>
      </c>
      <c r="E17">
        <f t="shared" si="3"/>
        <v>2.3070866141732282</v>
      </c>
    </row>
    <row r="18" spans="1:5" x14ac:dyDescent="0.4">
      <c r="A18">
        <v>5032</v>
      </c>
      <c r="B18">
        <v>3832</v>
      </c>
      <c r="C18">
        <f t="shared" si="1"/>
        <v>8864</v>
      </c>
      <c r="D18">
        <f t="shared" si="2"/>
        <v>0.76152623211446746</v>
      </c>
      <c r="E18">
        <f t="shared" si="3"/>
        <v>2.3131524008350732</v>
      </c>
    </row>
    <row r="19" spans="1:5" x14ac:dyDescent="0.4">
      <c r="A19">
        <v>5104</v>
      </c>
      <c r="B19">
        <v>3952</v>
      </c>
      <c r="C19">
        <f t="shared" si="1"/>
        <v>9056</v>
      </c>
      <c r="D19">
        <f t="shared" si="2"/>
        <v>0.77429467084639503</v>
      </c>
      <c r="E19">
        <f t="shared" si="3"/>
        <v>2.2914979757085021</v>
      </c>
    </row>
    <row r="20" spans="1:5" x14ac:dyDescent="0.4">
      <c r="A20">
        <v>4640</v>
      </c>
      <c r="B20">
        <v>3832</v>
      </c>
      <c r="C20">
        <f t="shared" si="1"/>
        <v>8472</v>
      </c>
      <c r="D20">
        <f t="shared" si="2"/>
        <v>0.82586206896551728</v>
      </c>
      <c r="E20">
        <f t="shared" si="3"/>
        <v>2.210855949895616</v>
      </c>
    </row>
    <row r="21" spans="1:5" x14ac:dyDescent="0.4">
      <c r="A21">
        <v>4590</v>
      </c>
      <c r="B21">
        <v>4016</v>
      </c>
      <c r="C21">
        <f t="shared" si="1"/>
        <v>8606</v>
      </c>
      <c r="D21">
        <f t="shared" si="2"/>
        <v>0.87494553376906314</v>
      </c>
      <c r="E21">
        <f t="shared" si="3"/>
        <v>2.1429282868525896</v>
      </c>
    </row>
    <row r="22" spans="1:5" x14ac:dyDescent="0.4">
      <c r="A22">
        <v>3535</v>
      </c>
      <c r="B22">
        <v>3150</v>
      </c>
      <c r="C22">
        <f t="shared" si="1"/>
        <v>6685</v>
      </c>
      <c r="D22">
        <f t="shared" si="2"/>
        <v>0.8910891089108911</v>
      </c>
      <c r="E22">
        <f t="shared" si="3"/>
        <v>2.1222222222222222</v>
      </c>
    </row>
    <row r="23" spans="1:5" x14ac:dyDescent="0.4">
      <c r="A23">
        <v>4616</v>
      </c>
      <c r="B23">
        <v>4016</v>
      </c>
      <c r="C23">
        <f t="shared" si="1"/>
        <v>8632</v>
      </c>
      <c r="D23">
        <f t="shared" si="2"/>
        <v>0.87001733102253032</v>
      </c>
      <c r="E23">
        <f t="shared" si="3"/>
        <v>2.1494023904382469</v>
      </c>
    </row>
    <row r="24" spans="1:5" x14ac:dyDescent="0.4">
      <c r="A24">
        <v>4685</v>
      </c>
      <c r="B24">
        <v>3680</v>
      </c>
      <c r="C24">
        <f t="shared" si="1"/>
        <v>8365</v>
      </c>
      <c r="D24">
        <f t="shared" si="2"/>
        <v>0.78548559231590176</v>
      </c>
      <c r="E24">
        <f t="shared" si="3"/>
        <v>2.2730978260869565</v>
      </c>
    </row>
    <row r="25" spans="1:5" x14ac:dyDescent="0.4">
      <c r="A25">
        <v>3940</v>
      </c>
      <c r="B25">
        <v>2752</v>
      </c>
      <c r="C25">
        <f t="shared" si="1"/>
        <v>6692</v>
      </c>
      <c r="D25">
        <f t="shared" si="2"/>
        <v>0.69847715736040605</v>
      </c>
      <c r="E25">
        <f t="shared" si="3"/>
        <v>2.4316860465116279</v>
      </c>
    </row>
    <row r="26" spans="1:5" x14ac:dyDescent="0.4">
      <c r="A26">
        <v>4712</v>
      </c>
      <c r="B26">
        <v>3712</v>
      </c>
      <c r="C26">
        <f t="shared" si="1"/>
        <v>8424</v>
      </c>
      <c r="D26">
        <f t="shared" si="2"/>
        <v>0.78777589134125636</v>
      </c>
      <c r="E26">
        <f t="shared" si="3"/>
        <v>2.2693965517241379</v>
      </c>
    </row>
    <row r="27" spans="1:5" x14ac:dyDescent="0.4">
      <c r="A27">
        <v>4960</v>
      </c>
      <c r="B27">
        <v>3768</v>
      </c>
      <c r="C27">
        <f t="shared" si="1"/>
        <v>8728</v>
      </c>
      <c r="D27">
        <f t="shared" si="2"/>
        <v>0.75967741935483868</v>
      </c>
      <c r="E27">
        <f t="shared" si="3"/>
        <v>2.3163481953290872</v>
      </c>
    </row>
    <row r="28" spans="1:5" x14ac:dyDescent="0.4">
      <c r="A28">
        <v>4888</v>
      </c>
      <c r="B28">
        <v>3528</v>
      </c>
      <c r="C28">
        <f t="shared" si="1"/>
        <v>8416</v>
      </c>
      <c r="D28">
        <f t="shared" si="2"/>
        <v>0.72176759410801961</v>
      </c>
      <c r="E28">
        <f t="shared" si="3"/>
        <v>2.385487528344671</v>
      </c>
    </row>
    <row r="29" spans="1:5" x14ac:dyDescent="0.4">
      <c r="A29">
        <v>5573</v>
      </c>
      <c r="B29">
        <v>4200</v>
      </c>
      <c r="C29">
        <f t="shared" si="1"/>
        <v>9773</v>
      </c>
      <c r="D29">
        <f t="shared" si="2"/>
        <v>0.75363359052574919</v>
      </c>
      <c r="E29">
        <f t="shared" si="3"/>
        <v>2.3269047619047618</v>
      </c>
    </row>
    <row r="30" spans="1:5" x14ac:dyDescent="0.4">
      <c r="A30">
        <v>5120</v>
      </c>
      <c r="B30">
        <v>4728</v>
      </c>
      <c r="C30">
        <f t="shared" si="1"/>
        <v>9848</v>
      </c>
      <c r="D30">
        <f t="shared" si="2"/>
        <v>0.92343750000000002</v>
      </c>
      <c r="E30">
        <f t="shared" si="3"/>
        <v>2.0829103214890017</v>
      </c>
    </row>
    <row r="31" spans="1:5" x14ac:dyDescent="0.4">
      <c r="A31">
        <v>2780</v>
      </c>
      <c r="B31">
        <v>2250</v>
      </c>
      <c r="C31">
        <f t="shared" si="1"/>
        <v>5030</v>
      </c>
      <c r="D31">
        <f t="shared" si="2"/>
        <v>0.80935251798561147</v>
      </c>
      <c r="E31">
        <f t="shared" si="3"/>
        <v>2.2355555555555555</v>
      </c>
    </row>
    <row r="32" spans="1:5" x14ac:dyDescent="0.4">
      <c r="A32">
        <v>3200</v>
      </c>
      <c r="B32">
        <v>2488</v>
      </c>
      <c r="C32">
        <f t="shared" si="1"/>
        <v>5688</v>
      </c>
      <c r="D32">
        <f t="shared" si="2"/>
        <v>0.77749999999999997</v>
      </c>
      <c r="E32">
        <f t="shared" si="3"/>
        <v>2.2861736334405145</v>
      </c>
    </row>
    <row r="33" spans="1:5" x14ac:dyDescent="0.4">
      <c r="A33">
        <v>3600</v>
      </c>
      <c r="B33">
        <v>2336</v>
      </c>
      <c r="C33">
        <f t="shared" si="1"/>
        <v>5936</v>
      </c>
      <c r="D33">
        <f t="shared" si="2"/>
        <v>0.64888888888888885</v>
      </c>
      <c r="E33">
        <f t="shared" si="3"/>
        <v>2.5410958904109591</v>
      </c>
    </row>
    <row r="34" spans="1:5" x14ac:dyDescent="0.4">
      <c r="A34">
        <v>2959</v>
      </c>
      <c r="B34">
        <v>2632</v>
      </c>
      <c r="C34">
        <f t="shared" si="1"/>
        <v>5591</v>
      </c>
      <c r="D34">
        <f t="shared" si="2"/>
        <v>0.88948969246367016</v>
      </c>
      <c r="E34">
        <f t="shared" si="3"/>
        <v>2.1242401215805473</v>
      </c>
    </row>
    <row r="35" spans="1:5" x14ac:dyDescent="0.4">
      <c r="A35">
        <v>2800</v>
      </c>
      <c r="B35">
        <v>2240</v>
      </c>
      <c r="C35">
        <f t="shared" si="1"/>
        <v>5040</v>
      </c>
      <c r="D35">
        <f t="shared" si="2"/>
        <v>0.8</v>
      </c>
      <c r="E35">
        <f t="shared" si="3"/>
        <v>2.25</v>
      </c>
    </row>
    <row r="36" spans="1:5" x14ac:dyDescent="0.4">
      <c r="A36">
        <v>4584</v>
      </c>
      <c r="B36">
        <v>3192</v>
      </c>
      <c r="C36">
        <f t="shared" si="1"/>
        <v>7776</v>
      </c>
      <c r="D36">
        <f t="shared" si="2"/>
        <v>0.69633507853403143</v>
      </c>
      <c r="E36">
        <f t="shared" si="3"/>
        <v>2.4360902255639099</v>
      </c>
    </row>
    <row r="37" spans="1:5" x14ac:dyDescent="0.4">
      <c r="A37">
        <v>4320</v>
      </c>
      <c r="B37">
        <v>2540</v>
      </c>
      <c r="C37">
        <f t="shared" si="1"/>
        <v>6860</v>
      </c>
      <c r="D37">
        <f t="shared" si="2"/>
        <v>0.58796296296296291</v>
      </c>
      <c r="E37">
        <f t="shared" si="3"/>
        <v>2.7007874015748032</v>
      </c>
    </row>
    <row r="38" spans="1:5" x14ac:dyDescent="0.4">
      <c r="D38">
        <v>0.5988</v>
      </c>
    </row>
    <row r="39" spans="1:5" x14ac:dyDescent="0.4">
      <c r="D39">
        <v>0.65259999999999996</v>
      </c>
    </row>
    <row r="40" spans="1:5" x14ac:dyDescent="0.4">
      <c r="A40">
        <f>AVERAGE(A2:A37)</f>
        <v>4219.416666666667</v>
      </c>
      <c r="B40">
        <f>AVERAGE(B2:B37)</f>
        <v>3083.3888888888887</v>
      </c>
      <c r="D40">
        <f>AVERAGE(D2:D39)</f>
        <v>0.72803712892870354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sheng</dc:creator>
  <cp:lastModifiedBy>xi sheng</cp:lastModifiedBy>
  <dcterms:created xsi:type="dcterms:W3CDTF">2024-06-14T12:29:18Z</dcterms:created>
  <dcterms:modified xsi:type="dcterms:W3CDTF">2024-06-15T07:06:10Z</dcterms:modified>
</cp:coreProperties>
</file>